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013acaf56a94263" /></Relationships>
</file>

<file path=xl/workbook.xml><?xml version="1.0" encoding="utf-8"?>
<x:workbook xmlns:x="http://schemas.openxmlformats.org/spreadsheetml/2006/main">
  <x:sheets>
    <x:sheet xmlns:r="http://schemas.openxmlformats.org/officeDocument/2006/relationships" name="Investment Summary" sheetId="1" r:id="Rb8ced54668ad4b95"/>
    <x:sheet xmlns:r="http://schemas.openxmlformats.org/officeDocument/2006/relationships" name="Inputs" sheetId="2" r:id="Rc1a50b2ab00f496d"/>
    <x:sheet xmlns:r="http://schemas.openxmlformats.org/officeDocument/2006/relationships" name="Asset_Model" sheetId="3" r:id="Rbdec5f0feeb84ef4"/>
    <x:sheet xmlns:r="http://schemas.openxmlformats.org/officeDocument/2006/relationships" name="Valuation" sheetId="4" r:id="Rc0f8a234a8a04a4d"/>
    <x:sheet xmlns:r="http://schemas.openxmlformats.org/officeDocument/2006/relationships" name="Scenarios_Risk" sheetId="5" r:id="R2e4e1c37b25e4049"/>
    <x:sheet xmlns:r="http://schemas.openxmlformats.org/officeDocument/2006/relationships" name="Checks" sheetId="7" r:id="R35be1934a36e4f6b"/>
    <x:sheet xmlns:r="http://schemas.openxmlformats.org/officeDocument/2006/relationships" name="Sources" sheetId="8" r:id="Rb990454f987c4128"/>
  </x:sheets>
</x:workbook>
</file>

<file path=xl/comments1.xml><?xml version="1.0" encoding="utf-8"?>
<x:comments xmlns:x="http://schemas.openxmlformats.org/spreadsheetml/2006/main">
  <x:authors>
    <x:author>Alastair Holmes a' Court</x:author>
  </x:authors>
  <x:commentList>
    <x:comment ref="C6" authorId="0">
      <x:text>
        <x:r>
          <x:t>Source: User-provided Case Study 2 attachment.</x:t>
        </x:r>
      </x:text>
    </x:comment>
    <x:comment ref="C7" authorId="0">
      <x:text>
        <x:r>
          <x:t>Source: User-provided Case Study 2 attachment.</x:t>
        </x:r>
      </x:text>
    </x:comment>
    <x:comment ref="C8" authorId="0">
      <x:text>
        <x:r>
          <x:t>Project cost / purchase price per Case Study 2.</x:t>
        </x:r>
      </x:text>
    </x:comment>
    <x:comment ref="C9" authorId="0">
      <x:text>
        <x:r>
          <x:t>Transaction costs assumed at 0.0% per Case Study 2.</x:t>
        </x:r>
      </x:text>
    </x:comment>
    <x:comment ref="C10" authorId="0">
      <x:text>
        <x:r>
          <x:t>20-year holding period per Case Study 2.</x:t>
        </x:r>
      </x:text>
    </x:comment>
    <x:comment ref="C11" authorId="0">
      <x:text>
        <x:r>
          <x:t>Management fee based on Case Study 2 assumptions.</x:t>
        </x:r>
      </x:text>
    </x:comment>
    <x:comment ref="C12" authorId="0">
      <x:text>
        <x:r>
          <x:t>Performance fee / carry based on Case Study 2 assumptions.</x:t>
        </x:r>
      </x:text>
    </x:comment>
    <x:comment ref="C15" authorId="0">
      <x:text>
        <x:r>
          <x:t>Starting revenue per Case Study 2.</x:t>
        </x:r>
      </x:text>
    </x:comment>
    <x:comment ref="C16" authorId="0">
      <x:text>
        <x:r>
          <x:t>Annual revenue growth per Case Study 2.</x:t>
        </x:r>
      </x:text>
    </x:comment>
    <x:comment ref="C17" authorId="0">
      <x:text>
        <x:r>
          <x:t>EBITDA margin per Case Study 2.</x:t>
        </x:r>
      </x:text>
    </x:comment>
    <x:comment ref="C18" authorId="0">
      <x:text>
        <x:r>
          <x:t>No annual margin expansion assumed.</x:t>
        </x:r>
      </x:text>
    </x:comment>
    <x:comment ref="C19" authorId="0">
      <x:text>
        <x:r>
          <x:t>Depreciation set to 0.0% of revenue per Case Study 2.</x:t>
        </x:r>
      </x:text>
    </x:comment>
    <x:comment ref="C20" authorId="0">
      <x:text>
        <x:r>
          <x:t>Capex set to 2.5% of revenue per Case Study 2.</x:t>
        </x:r>
      </x:text>
    </x:comment>
    <x:comment ref="C21" authorId="0">
      <x:text>
        <x:r>
          <x:t>Net working capital set to 2.0% of revenue per Case Study 2.</x:t>
        </x:r>
      </x:text>
    </x:comment>
    <x:comment ref="C22" authorId="0">
      <x:text>
        <x:r>
          <x:t>Tax rate set to 0.0% per Case Study 2.</x:t>
        </x:r>
      </x:text>
    </x:comment>
    <x:comment ref="C23" authorId="0">
      <x:text>
        <x:r>
          <x:t>Commercial operations commence in model Year 3 per Case Study 2.</x:t>
        </x:r>
      </x:text>
    </x:comment>
    <x:comment ref="C25" authorId="0">
      <x:text>
        <x:r>
          <x:t>Debt funding set to 60.0% per Case Study 2.</x:t>
        </x:r>
      </x:text>
    </x:comment>
    <x:comment ref="C26" authorId="0">
      <x:text>
        <x:r>
          <x:t>Cash interest rate set to 4.5% per Case Study 2.</x:t>
        </x:r>
      </x:text>
    </x:comment>
    <x:comment ref="C27" authorId="0">
      <x:text>
        <x:r>
          <x:t>Annual amortization set to 4.0% of initial debt per Case Study 2.</x:t>
        </x:r>
      </x:text>
    </x:comment>
    <x:comment ref="C28" authorId="0">
      <x:text>
        <x:r>
          <x:t>Upfront financing fee set to 1.0% of initial debt.</x:t>
        </x:r>
      </x:text>
    </x:comment>
    <x:comment ref="C29" authorId="0">
      <x:text>
        <x:r>
          <x:t>Minimum cash set to A$10.0 million per Case Study 2.</x:t>
        </x:r>
      </x:text>
    </x:comment>
    <x:comment ref="C33" authorId="0">
      <x:text>
        <x:r>
          <x:t>Discount rate set to 8.0% per Case Study 2.</x:t>
        </x:r>
      </x:text>
    </x:comment>
    <x:comment ref="C34" authorId="0">
      <x:text>
        <x:r>
          <x:t>Terminal growth set to 0.0% per Case Study 2.</x:t>
        </x:r>
      </x:text>
    </x:comment>
    <x:comment ref="C35" authorId="0">
      <x:text>
        <x:r>
          <x:t>Exit EBITDA multiple set to 7.0x per Case Study 2.</x:t>
        </x:r>
      </x:text>
    </x:comment>
    <x:comment ref="C36" authorId="0">
      <x:text>
        <x:r>
          <x:t>DCF weighting set to 0.0% per Case Study 2.</x:t>
        </x:r>
      </x:text>
    </x:comment>
    <x:comment ref="C37" authorId="0">
      <x:text>
        <x:r>
          <x:t>Exit multiple weighting set to 100.0% per Case Study 2.</x:t>
        </x:r>
      </x:text>
    </x:comment>
    <x:comment ref="C40" authorId="0">
      <x:text>
        <x:r>
          <x:t>Downside probability per Case Study 2.</x:t>
        </x:r>
      </x:text>
    </x:comment>
    <x:comment ref="C41" authorId="0">
      <x:text>
        <x:r>
          <x:t>Base probability per Case Study 2.</x:t>
        </x:r>
      </x:text>
    </x:comment>
    <x:comment ref="C42" authorId="0">
      <x:text>
        <x:r>
          <x:t>Upside probability per Case Study 2.</x:t>
        </x:r>
      </x:text>
    </x:comment>
    <x:comment ref="C43" authorId="0">
      <x:text>
        <x:r>
          <x:t>Downside revenue growth shock of negative 3.0 percentage points.</x:t>
        </x:r>
      </x:text>
    </x:comment>
    <x:comment ref="C44" authorId="0">
      <x:text>
        <x:r>
          <x:t>Upside revenue growth shock of positive 2.0 percentage points.</x:t>
        </x:r>
      </x:text>
    </x:comment>
    <x:comment ref="C45" authorId="0">
      <x:text>
        <x:r>
          <x:t>Downside EBITDA margin shock of negative 5.0 percentage points.</x:t>
        </x:r>
      </x:text>
    </x:comment>
    <x:comment ref="C46" authorId="0">
      <x:text>
        <x:r>
          <x:t>Upside EBITDA margin shock of positive 3.0 percentage points.</x:t>
        </x:r>
      </x:text>
    </x:comment>
    <x:comment ref="C47" authorId="0">
      <x:text>
        <x:r>
          <x:t>Downside exit multiple shock of negative 2.0x.</x:t>
        </x:r>
      </x:text>
    </x:comment>
    <x:comment ref="C48" authorId="0">
      <x:text>
        <x:r>
          <x:t>Upside exit multiple shock of positive 1.5x.</x:t>
        </x:r>
      </x:text>
    </x:comment>
    <x:comment ref="C49" authorId="0">
      <x:text>
        <x:r>
          <x:t>Risk-free rate set to the 2018 RBA cash-rate assumption in Case Study 2.</x:t>
        </x:r>
      </x:text>
    </x:comment>
    <x:comment ref="C50" authorId="0">
      <x:text>
        <x:r>
          <x:t>Benchmark return set to 7.5% per Case Study 2.</x:t>
        </x:r>
      </x:text>
    </x:comment>
    <x:comment ref="C51" authorId="0">
      <x:text>
        <x:r>
          <x:t>VaR confidence set to 95.0%.</x:t>
        </x:r>
      </x:text>
    </x:comment>
    <x:comment ref="C54" authorId="0">
      <x:text>
        <x:r>
          <x:t>Neutralized for infrastructure asset: no property lease expiry modeled.</x:t>
        </x:r>
      </x:text>
    </x:comment>
    <x:comment ref="C55" authorId="0">
      <x:text>
        <x:r>
          <x:t>Neutralized for infrastructure asset.</x:t>
        </x:r>
      </x:text>
    </x:comment>
    <x:comment ref="C56" authorId="0">
      <x:text>
        <x:r>
          <x:t>Neutralized for infrastructure asset.</x:t>
        </x:r>
      </x:text>
    </x:comment>
    <x:comment ref="C57" authorId="0">
      <x:text>
        <x:r>
          <x:t>Neutral property reset multiplier retained at 100% to avoid value distortion.</x:t>
        </x:r>
      </x:text>
    </x:comment>
    <x:comment ref="C58" authorId="0">
      <x:text>
        <x:r>
          <x:t>Neutralized for infrastructure asset.</x:t>
        </x:r>
      </x:text>
    </x:comment>
    <x:comment ref="C59" authorId="0">
      <x:text>
        <x:r>
          <x:t>Neutralized for infrastructure asset.</x:t>
        </x:r>
      </x:text>
    </x:comment>
    <x:comment ref="C62" authorId="0">
      <x:text>
        <x:r>
          <x:t>Alastair Holmes a' Court:
First refinancing date in model Year 5 per Case Study 2.</x:t>
        </x:r>
      </x:text>
    </x:comment>
    <x:comment ref="C63" authorId="0">
      <x:text>
        <x:r>
          <x:t>Alastair Holmes a' Court:
First refinancing margin adjustment: positive 1.50 percentage points.</x:t>
        </x:r>
      </x:text>
    </x:comment>
    <x:comment ref="C64" authorId="0">
      <x:text>
        <x:r>
          <x:t>Alastair Holmes a' Court:
Second refinancing date in model Year 10 per Case Study 2.</x:t>
        </x:r>
      </x:text>
    </x:comment>
    <x:comment ref="C65" authorId="0">
      <x:text>
        <x:r>
          <x:t>Alastair Holmes a' Court:
Second refinancing margin adjustment: positive 0.75 percentage points.</x:t>
        </x:r>
      </x:text>
    </x:comment>
  </x:commentList>
</x:comments>
</file>

<file path=xl/comments2.xml><?xml version="1.0" encoding="utf-8"?>
<x:comments xmlns:x="http://schemas.openxmlformats.org/spreadsheetml/2006/main">
  <x:authors>
    <x:author>Alastair Holmes a' Court</x:author>
  </x:authors>
  <x:commentList>
    <x:comment ref="C24" authorId="0">
      <x:text>
        <x:r>
          <x:t>Alastair Holmes a' Court:
Market-rent input is expressed as a percentage of passing rent; 100% means no reset.</x:t>
        </x:r>
      </x:text>
    </x:comment>
  </x:commentList>
</x:comments>
</file>

<file path=xl/comments3.xml><?xml version="1.0" encoding="utf-8"?>
<x:comments xmlns:x="http://schemas.openxmlformats.org/spreadsheetml/2006/main">
  <x:authors>
    <x:author>Alastair Holmes a' Court</x:author>
  </x:authors>
  <x:commentList>
    <x:comment ref="B9" authorId="0">
      <x:text>
        <x:r>
          <x:t>Alastair Holmes a' Court:
Uses -100% as a conservative floor when the scenario cash-flow pattern has no valid IRR solution.</x:t>
        </x:r>
      </x:text>
    </x:comment>
  </x:commentList>
</x:comments>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<x:sst xmlns:x="http://schemas.openxmlformats.org/spreadsheetml/2006/main">
  <x:si>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Category</x:t>
  </x:si>
  <x:si>
    <x:t xml:space="preserve">Assumption</x:t>
  </x:si>
  <x:si>
    <x:t xml:space="preserve">Value</x:t>
  </x:si>
  <x:si>
    <x:t xml:space="preserve">Units / Guidance</x:t>
  </x:si>
  <x:si>
    <x:t xml:space="preserve">TRANSACTION INPUTS</x:t>
  </x:si>
  <x:si>
    <x:t xml:space="preserve">Transaction</x:t>
  </x:si>
  <x:si>
    <x:t xml:space="preserve">Asset Name</x:t>
  </x:si>
  <x:si>
    <x:t xml:space="preserve">Darlington Point – ~10% Remaining Interest (Jul-22)</x:t>
  </x:si>
  <x:si>
    <x:t xml:space="preserve">Text</x:t>
  </x:si>
  <x:si>
    <x:t xml:space="preserve">Currency</x:t>
  </x:si>
  <x:si>
    <x:t xml:space="preserve">AUD</x:t>
  </x:si>
  <x:si>
    <x:t xml:space="preserve">ISO currency</x:t>
  </x:si>
  <x:si>
    <x:t xml:space="preserve">Purchase Price</x:t>
  </x:si>
  <x:si>
    <x:t xml:space="preserve">Proportional EV: 10% × A$438.7m disclosed acquisition EV</x:t>
  </x:si>
  <x:si>
    <x:t xml:space="preserve">Transaction Costs</x:t>
  </x:si>
  <x:si>
    <x:t xml:space="preserve">Included in disclosed acquisition equity / EV bridge</x:t>
  </x:si>
  <x:si>
    <x:t xml:space="preserve">Hold Period</x:t>
  </x:si>
  <x:si>
    <x:t xml:space="preserve">Years (1-20)</x:t>
  </x:si>
  <x:si>
    <x:t xml:space="preserve">Annual Management Fee</x:t>
  </x:si>
  <x:si>
    <x:t xml:space="preserve">0.95% opening-equity proxy; actual fee is NAV-based</x:t>
  </x:si>
  <x:si>
    <x:t xml:space="preserve">Performance Fee / Carry</x:t>
  </x:si>
  <x:si>
    <x:t xml:space="preserve">20% of outperformance above the 7.0% hurdle</x:t>
  </x:si>
  <x:si>
    <x:t xml:space="preserve">Performance Fee Hurdle</x:t>
  </x:si>
  <x:si>
    <x:t xml:space="preserve">Annual net IRR hurdle</x:t>
  </x:si>
  <x:si>
    <x:t xml:space="preserve">OPERATING INPUTS</x:t>
  </x:si>
  <x:si>
    <x:t xml:space="preserve">Operating</x:t>
  </x:si>
  <x:si>
    <x:t xml:space="preserve">Starting Revenue</x:t>
  </x:si>
  <x:si>
    <x:t xml:space="preserve">10% share; Year 1 = A$4.952m (~A$72.3/MWh full-farm equivalent)</x:t>
  </x:si>
  <x:si>
    <x:t xml:space="preserve">Revenue Growth</x:t>
  </x:si>
  <x:si>
    <x:t xml:space="preserve">Nominal growth net of degradation and capture-price pressure</x:t>
  </x:si>
  <x:si>
    <x:t xml:space="preserve">EBITDA Margin</x:t>
  </x:si>
  <x:si>
    <x:t xml:space="preserve">Operational solar-asset estimate</x:t>
  </x:si>
  <x:si>
    <x:t xml:space="preserve">Annual Margin Expansion</x:t>
  </x:si>
  <x:si>
    <x:t xml:space="preserve">Percentage points</x:t>
  </x:si>
  <x:si>
    <x:t xml:space="preserve">Depreciation</x:t>
  </x:si>
  <x:si>
    <x:t xml:space="preserve">% revenue</x:t>
  </x:si>
  <x:si>
    <x:t xml:space="preserve">Capex</x:t>
  </x:si>
  <x:si>
    <x:t xml:space="preserve">Net Working Capital</x:t>
  </x:si>
  <x:si>
    <x:t xml:space="preserve">Tax Rate</x:t>
  </x:si>
  <x:si>
    <x:t xml:space="preserve">% EBIT</x:t>
  </x:si>
  <x:si>
    <x:t xml:space="preserve">Revenue Commencement Year</x:t>
  </x:si>
  <x:si>
    <x:t xml:space="preserve">Year 1 = operating asset at July 2022 acquisition</x:t>
  </x:si>
  <x:si>
    <x:t xml:space="preserve">FINANCING INPUTS</x:t>
  </x:si>
  <x:si>
    <x:t xml:space="preserve">Financing</x:t>
  </x:si>
  <x:si>
    <x:t xml:space="preserve">Debt Funding</x:t>
  </x:si>
  <x:si>
    <x:t xml:space="preserve">A$203.8m debt ÷ A$438.7m enterprise value</x:t>
  </x:si>
  <x:si>
    <x:t xml:space="preserve">Cash Interest Rate</x:t>
  </x:si>
  <x:si>
    <x:t xml:space="preserve">Annual</x:t>
  </x:si>
  <x:si>
    <x:t xml:space="preserve">Annual Amortization</x:t>
  </x:si>
  <x:si>
    <x:t xml:space="preserve">% initial debt</x:t>
  </x:si>
  <x:si>
    <x:t xml:space="preserve">Upfront Financing Fee</x:t>
  </x:si>
  <x:si>
    <x:t xml:space="preserve">No add-on: disclosed equity and debt reconcile to enterprise value</x:t>
  </x:si>
  <x:si>
    <x:t xml:space="preserve">Minimum Cash</x:t>
  </x:si>
  <x:si>
    <x:t xml:space="preserve">VALUATION INPUTS</x:t>
  </x:si>
  <x:si>
    <x:t xml:space="preserve">Valuation</x:t>
  </x:si>
  <x:si>
    <x:t xml:space="preserve">Terminal Growth</x:t>
  </x:si>
  <x:si>
    <x:t xml:space="preserve">Sustainable nominal cash-flow growth; DCF weight is 0%</x:t>
  </x:si>
  <x:si>
    <x:t xml:space="preserve">Exit EBITDA Multiple</x:t>
  </x:si>
  <x:si>
    <x:t xml:space="preserve">Remaining-life exit proxy after a 20-year hold</x:t>
  </x:si>
  <x:si>
    <x:t xml:space="preserve">DCF Weight</x:t>
  </x:si>
  <x:si>
    <x:t xml:space="preserve">% blended valuation</x:t>
  </x:si>
  <x:si>
    <x:t xml:space="preserve">Exit Multiple Weight</x:t>
  </x:si>
  <x:si>
    <x:t xml:space="preserve">RISK &amp; SCENARIO INPUTS</x:t>
  </x:si>
  <x:si>
    <x:t xml:space="preserve">Risk</x:t>
  </x:si>
  <x:si>
    <x:t xml:space="preserve">Downside Probability</x:t>
  </x:si>
  <x:si>
    <x:t xml:space="preserve">Probability</x:t>
  </x:si>
  <x:si>
    <x:t xml:space="preserve">Base Probability</x:t>
  </x:si>
  <x:si>
    <x:t xml:space="preserve">Upside Probability</x:t>
  </x:si>
  <x:si>
    <x:t xml:space="preserve">Downside Revenue Growth Shock</x:t>
  </x:si>
  <x:si>
    <x:t xml:space="preserve">Upside Revenue Growth Shock</x:t>
  </x:si>
  <x:si>
    <x:t xml:space="preserve">Downside Margin Shock</x:t>
  </x:si>
  <x:si>
    <x:t xml:space="preserve">Upside Margin Shock</x:t>
  </x:si>
  <x:si>
    <x:t xml:space="preserve">Downside Exit Multiple Shock</x:t>
  </x:si>
  <x:si>
    <x:t xml:space="preserve">x EBITDA</x:t>
  </x:si>
  <x:si>
    <x:t xml:space="preserve">Upside Exit Multiple Shock</x:t>
  </x:si>
  <x:si>
    <x:t xml:space="preserve">Risk-Free Rate</x:t>
  </x:si>
  <x:si>
    <x:t xml:space="preserve">Benchmark Return</x:t>
  </x:si>
  <x:si>
    <x:t xml:space="preserve">VaR Confidence</x:t>
  </x:si>
  <x:si>
    <x:t xml:space="preserve">Scenario proxy confidence</x:t>
  </x:si>
  <x:si>
    <x:t xml:space="preserve">Asset Cash Flow &amp; Financing Engine</x:t>
  </x:si>
  <x:si>
    <x:t xml:space="preserve">Annual unlevered and levered cash flows with acquisition, debt amortization, fees, and exit</x:t>
  </x:si>
  <x:si>
    <x:t xml:space="preserve">Metric</x:t>
  </x:si>
  <x:si>
    <x:t xml:space="preserve">Active Period</x:t>
  </x:si>
  <x:si>
    <x:t xml:space="preserve">OPERATING CASH FLOW</x:t>
  </x:si>
  <x:si>
    <x:t xml:space="preserve">Revenue</x:t>
  </x:si>
  <x:si>
    <x:t xml:space="preserve">EBITDA</x:t>
  </x:si>
  <x:si>
    <x:t xml:space="preserve">D&amp;A</x:t>
  </x:si>
  <x:si>
    <x:t xml:space="preserve">EBIT</x:t>
  </x:si>
  <x:si>
    <x:t xml:space="preserve">Cash Taxes</x:t>
  </x:si>
  <x:si>
    <x:t xml:space="preserve">Change in NWC</x:t>
  </x:si>
  <x:si>
    <x:t xml:space="preserve">Unlevered Free Cash Flow</x:t>
  </x:si>
  <x:si>
    <x:t xml:space="preserve">FINANCING</x:t>
  </x:si>
  <x:si>
    <x:t xml:space="preserve">Beginning Debt</x:t>
  </x:si>
  <x:si>
    <x:t xml:space="preserve">Debt Draw</x:t>
  </x:si>
  <x:si>
    <x:t xml:space="preserve">Mandatory Paydown</x:t>
  </x:si>
  <x:si>
    <x:t xml:space="preserve">Ending Debt</x:t>
  </x:si>
  <x:si>
    <x:t xml:space="preserve">Cash Interest</x:t>
  </x:si>
  <x:si>
    <x:t xml:space="preserve">EXIT</x:t>
  </x:si>
  <x:si>
    <x:t xml:space="preserve">Exit Enterprise Value</x:t>
  </x:si>
  <x:si>
    <x:t xml:space="preserve">Equity Sale Proceeds</x:t>
  </x:si>
  <x:si>
    <x:t xml:space="preserve">EQUITY RETURNS</x:t>
  </x:si>
  <x:si>
    <x:t xml:space="preserve">Gross Equity Cash Flow</x:t>
  </x:si>
  <x:si>
    <x:t xml:space="preserve">Management Fees</x:t>
  </x:si>
  <x:si>
    <x:t xml:space="preserve">Net Equity Cash Flow</x:t>
  </x:si>
  <x:si>
    <x:t xml:space="preserve">Gross Cumulative Cash Flow</x:t>
  </x:si>
  <x:si>
    <x:t xml:space="preserve">Net Cumulative Cash Flow</x:t>
  </x:si>
  <x:si>
    <x:t xml:space="preserve">CHECKS</x:t>
  </x:si>
  <x:si>
    <x:t xml:space="preserve">Debt Roll-Forward Check</x:t>
  </x:si>
  <x:si>
    <x:t xml:space="preserve">Valuation &amp; Return Outputs</x:t>
  </x:si>
  <x:si>
    <x:t xml:space="preserve">DCF, exit multiple, blended equity value, return statistics, and value-driver diagnostics</x:t>
  </x:si>
  <x:si>
    <x:t xml:space="preserve">Core Return Output</x:t>
  </x:si>
  <x:si>
    <x:t xml:space="preserve">Definition</x:t>
  </x:si>
  <x:si>
    <x:t xml:space="preserve">VALUE DRIVERS</x:t>
  </x:si>
  <x:si>
    <x:t xml:space="preserve">Driver</x:t>
  </x:si>
  <x:si>
    <x:t xml:space="preserve">Current Input</x:t>
  </x:si>
  <x:si>
    <x:t xml:space="preserve">Value Logic</x:t>
  </x:si>
  <x:si>
    <x:t xml:space="preserve">Gross Investment Gain</x:t>
  </x:si>
  <x:si>
    <x:t xml:space="preserve">Revenue growth</x:t>
  </x:si>
  <x:si>
    <x:t xml:space="preserve">Higher growth increases operating cash flow and exit EBITDA</x:t>
  </x:si>
  <x:si>
    <x:t xml:space="preserve">Net Investment Gain</x:t>
  </x:si>
  <x:si>
    <x:t xml:space="preserve">EBITDA margin</x:t>
  </x:si>
  <x:si>
    <x:t xml:space="preserve">Higher margin expands cash conversion and valuation</x:t>
  </x:si>
  <x:si>
    <x:t xml:space="preserve">Total Value</x:t>
  </x:si>
  <x:si>
    <x:t xml:space="preserve">Gross positive distributions</x:t>
  </x:si>
  <x:si>
    <x:t xml:space="preserve">Exit multiple</x:t>
  </x:si>
  <x:si>
    <x:t xml:space="preserve">Higher multiple increases terminal proceeds</x:t>
  </x:si>
  <x:si>
    <x:t xml:space="preserve">Gross IRR</x:t>
  </x:si>
  <x:si>
    <x:t xml:space="preserve">IRR on gross equity cash flows</x:t>
  </x:si>
  <x:si>
    <x:t xml:space="preserve">Leverage</x:t>
  </x:si>
  <x:si>
    <x:t xml:space="preserve">More debt reduces opening equity but increases financial risk</x:t>
  </x:si>
  <x:si>
    <x:t xml:space="preserve">Net IRR</x:t>
  </x:si>
  <x:si>
    <x:t xml:space="preserve">IRR after fees and carry</x:t>
  </x:si>
  <x:si>
    <x:t xml:space="preserve">NPV</x:t>
  </x:si>
  <x:si>
    <x:t xml:space="preserve">DCF Value</x:t>
  </x:si>
  <x:si>
    <x:t xml:space="preserve">Enterprise value from UFCF</x:t>
  </x:si>
  <x:si>
    <x:t xml:space="preserve">Terminal Value</x:t>
  </x:si>
  <x:si>
    <x:t xml:space="preserve">Perpetuity growth terminal value</x:t>
  </x:si>
  <x:si>
    <x:t xml:space="preserve">Exit Multiple Value (PV)</x:t>
  </x:si>
  <x:si>
    <x:t xml:space="preserve">PV of interim UFCF plus exit enterprise value</x:t>
  </x:si>
  <x:si>
    <x:t xml:space="preserve">Blended Enterprise Value</x:t>
  </x:si>
  <x:si>
    <x:t xml:space="preserve">Weighted DCF and exit values</x:t>
  </x:si>
  <x:si>
    <x:t xml:space="preserve">Equity Value</x:t>
  </x:si>
  <x:si>
    <x:t xml:space="preserve">Blended enterprise value less opening debt</x:t>
  </x:si>
  <x:si>
    <x:t xml:space="preserve">Gross MOIC</x:t>
  </x:si>
  <x:si>
    <x:t xml:space="preserve">Gross distributions / invested equity</x:t>
  </x:si>
  <x:si>
    <x:t xml:space="preserve">Net MOIC</x:t>
  </x:si>
  <x:si>
    <x:t xml:space="preserve">Net distributions / invested equity</x:t>
  </x:si>
  <x:si>
    <x:t xml:space="preserve">Opening Equity Investment</x:t>
  </x:si>
  <x:si>
    <x:t xml:space="preserve">Initial sponsor equity</x:t>
  </x:si>
  <x:si>
    <x:t xml:space="preserve">Scenarios &amp; Risk Analytics</x:t>
  </x:si>
  <x:si>
    <x:t xml:space="preserve">Discrete downside / base / upside cases with scenario-weighted return and loss statistics</x:t>
  </x:si>
  <x:si>
    <x:t xml:space="preserve">Scenario Metric</x:t>
  </x:si>
  <x:si>
    <x:t xml:space="preserve">Downside</x:t>
  </x:si>
  <x:si>
    <x:t xml:space="preserve">Base</x:t>
  </x:si>
  <x:si>
    <x:t xml:space="preserve">Upside</x:t>
  </x:si>
  <x:si>
    <x:t xml:space="preserve">Year 0</x:t>
  </x:si>
  <x:si>
    <x:t xml:space="preserve">Year 1</x:t>
  </x:si>
  <x:si>
    <x:t xml:space="preserve">Year 2</x:t>
  </x:si>
  <x:si>
    <x:t xml:space="preserve">Year 3</x:t>
  </x:si>
  <x:si>
    <x:t xml:space="preserve">Year 4</x:t>
  </x:si>
  <x:si>
    <x:t xml:space="preserve">Year 5</x:t>
  </x:si>
  <x:si>
    <x:t xml:space="preserve">Year 6</x:t>
  </x:si>
  <x:si>
    <x:t xml:space="preserve">Year 7</x:t>
  </x:si>
  <x:si>
    <x:t xml:space="preserve">Year 8</x:t>
  </x:si>
  <x:si>
    <x:t xml:space="preserve">Year 9</x:t>
  </x:si>
  <x:si>
    <x:t xml:space="preserve">Year 10</x:t>
  </x:si>
  <x:si>
    <x:t xml:space="preserve">Year 11</x:t>
  </x:si>
  <x:si>
    <x:t xml:space="preserve">Year 12</x:t>
  </x:si>
  <x:si>
    <x:t xml:space="preserve">Year 13</x:t>
  </x:si>
  <x:si>
    <x:t xml:space="preserve">Year 14</x:t>
  </x:si>
  <x:si>
    <x:t xml:space="preserve">Year 15</x:t>
  </x:si>
  <x:si>
    <x:t xml:space="preserve">Year 16</x:t>
  </x:si>
  <x:si>
    <x:t xml:space="preserve">Year 17</x:t>
  </x:si>
  <x:si>
    <x:t xml:space="preserve">Year 18</x:t>
  </x:si>
  <x:si>
    <x:t xml:space="preserve">Year 19</x:t>
  </x:si>
  <x:si>
    <x:t xml:space="preserve">Year 20</x:t>
  </x:si>
  <x:si>
    <x:t xml:space="preserve">Downside CF</x:t>
  </x:si>
  <x:si>
    <x:t xml:space="preserve">Base CF</x:t>
  </x:si>
  <x:si>
    <x:t xml:space="preserve">Upside CF</x:t>
  </x:si>
  <x:si>
    <x:t xml:space="preserve">Equity NPV</x:t>
  </x:si>
  <x:si>
    <x:t xml:space="preserve">RISK STATISTICS</x:t>
  </x:si>
  <x:si>
    <x:t xml:space="preserve">Statistic</x:t>
  </x:si>
  <x:si>
    <x:t xml:space="preserve">Expected Return</x:t>
  </x:si>
  <x:si>
    <x:t xml:space="preserve">Standard Deviation</x:t>
  </x:si>
  <x:si>
    <x:t xml:space="preserve">Expected NPV</x:t>
  </x:si>
  <x:si>
    <x:t xml:space="preserve">Probability of Negative NPV</x:t>
  </x:si>
  <x:si>
    <x:t xml:space="preserve">Scenario VaR (95% proxy)</x:t>
  </x:si>
  <x:si>
    <x:t xml:space="preserve">Sharpe Ratio</x:t>
  </x:si>
  <x:si>
    <x:t xml:space="preserve">Information Ratio</x:t>
  </x:si>
  <x:si>
    <x:t xml:space="preserve">Downside / Upside IRR Spread</x:t>
  </x:si>
  <x:si>
    <x:t xml:space="preserve">Interpretation</x:t>
  </x:si>
  <x:si>
    <x:t xml:space="preserve">Scenario VaR is a discrete-case loss proxy, not a full distributional or Monte Carlo VaR.</x:t>
  </x:si>
  <x:si>
    <x:t xml:space="preserve">Sources &amp; Assumptions Log</x:t>
  </x:si>
  <x:si>
    <x:t xml:space="preserve">July 2022 remaining-interest case: disclosed inputs, proportional scaling, estimates, and formula corrections</x:t>
  </x:si>
  <x:si>
    <x:t xml:space="preserve">Item</x:t>
  </x:si>
  <x:si>
    <x:t xml:space="preserve">Value / Assumption</x:t>
  </x:si>
  <x:si>
    <x:t xml:space="preserve">Units</x:t>
  </x:si>
  <x:si>
    <x:t xml:space="preserve">As-of / Case</x:t>
  </x:si>
  <x:si>
    <x:t xml:space="preserve">Source URL</x:t>
  </x:si>
  <x:si>
    <x:t xml:space="preserve">Source Name</x:t>
  </x:si>
  <x:si>
    <x:t xml:space="preserve">Model Reference</x:t>
  </x:si>
  <x:si>
    <x:t xml:space="preserve">Notes</x:t>
  </x:si>
  <x:si>
    <x:t xml:space="preserve">Updated</x:t>
  </x:si>
  <x:si>
    <x:t xml:space="preserve">Ownership scope</x:t>
  </x:si>
  <x:si>
    <x:t xml:space="preserve">Approx. 10% remaining interest</x:t>
  </x:si>
  <x:si>
    <x:t xml:space="preserve">% ownership</x:t>
  </x:si>
  <x:si>
    <x:t xml:space="preserve">Jul-22</x:t>
  </x:si>
  <x:si>
    <x:t xml:space="preserve">https://www.infrastructureinvestor.com/octopus-makes-first-australian-investment-322m-solar-farm/</x:t>
  </x:si>
  <x:si>
    <x:t xml:space="preserve">Infrastructure Investor</x:t>
  </x:si>
  <x:si>
    <x:t xml:space="preserve">Inputs!C6:C8</x:t>
  </x:si>
  <x:si>
    <x:t xml:space="preserve">2018 reporting states Octopus held more than 90%; 10% is a conservative upper-bound proxy because the exact retained Edify stake was not publicly disclosed.</x:t>
  </x:si>
  <x:si>
    <x:t xml:space="preserve">Acquisition bridge</x:t>
  </x:si>
  <x:si>
    <x:t xml:space="preserve">EV A$43.87m; equity A$23.49m; debt A$20.38m</x:t>
  </x:si>
  <x:si>
    <x:t xml:space="preserve">https://octopusaustralia.com.au/wp-content/uploads/sites/7/2024/06/OREO-Fund-Manager-Report-for-the-period-ending-31-March-2024.pdf</x:t>
  </x:si>
  <x:si>
    <x:t xml:space="preserve">OREO Quarterly Report</x:t>
  </x:si>
  <x:si>
    <x:t xml:space="preserve">Inputs!C8:C9;C25:C29</x:t>
  </x:si>
  <x:si>
    <x:t xml:space="preserve">10% proportional share of disclosed A$438.7m EV, A$234.9m equity and A$203.8m debt. No additional transaction or financing fee is added because the disclosed bridge already reconciles.</x:t>
  </x:si>
  <x:si>
    <x:t xml:space="preserve">Acquisition timing</x:t>
  </x:si>
  <x:si>
    <x:t xml:space="preserve">Operating asset; revenue from Year 1</x:t>
  </x:si>
  <x:si>
    <x:t xml:space="preserve">Model year</x:t>
  </x:si>
  <x:si>
    <x:t xml:space="preserve">Inputs!C23</x:t>
  </x:si>
  <x:si>
    <x:t xml:space="preserve">The disclosed acquisition date is July 2022 and the asset was operational, so the 2018–2020 construction delay is excluded.</x:t>
  </x:si>
  <x:si>
    <x:t xml:space="preserve">Generation</x:t>
  </x:si>
  <x:si>
    <x:t xml:space="preserve">685,000</x:t>
  </x:si>
  <x:si>
    <x:t xml:space="preserve">MWh p.a.</x:t>
  </x:si>
  <x:si>
    <x:t xml:space="preserve">Operational</x:t>
  </x:si>
  <x:si>
    <x:t xml:space="preserve">https://edifyenergy.com/news/octopus-investments-and-edify-energy-finance-new-450-million-solar-farm/</x:t>
  </x:si>
  <x:si>
    <x:t xml:space="preserve">Edify Energy</x:t>
  </x:si>
  <x:si>
    <x:t xml:space="preserve">Inputs!C15</x:t>
  </x:si>
  <x:si>
    <x:t xml:space="preserve">Expected full-farm annual generation used to derive the revenue estimate.</x:t>
  </x:si>
  <x:si>
    <x:t xml:space="preserve">Operating case</x:t>
  </x:si>
  <x:si>
    <x:t xml:space="preserve">Year-1 revenue A$4.952m; growth 1.25%; EBITDA margin 77.5%</x:t>
  </x:si>
  <x:si>
    <x:t xml:space="preserve">10% interest</x:t>
  </x:si>
  <x:si>
    <x:t xml:space="preserve">Base case</x:t>
  </x:si>
  <x:si>
    <x:t xml:space="preserve">https://octopusaustralia.com.au/our-projects/darlington-point-solar-farm/</x:t>
  </x:si>
  <x:si>
    <x:t xml:space="preserve">Octopus Australia</x:t>
  </x:si>
  <x:si>
    <x:t xml:space="preserve">Inputs!C15:C23</x:t>
  </x:si>
  <x:si>
    <x:t xml:space="preserve">Revenue implies ~A$72.3/MWh full-farm blended energy and LGC revenue. Growth and margin are underwriting estimates because PPA prices and asset accounts are not public.</x:t>
  </x:si>
  <x:si>
    <x:t xml:space="preserve">Fund fees</x:t>
  </x:si>
  <x:si>
    <x:t xml:space="preserve">0.95% management fee; 20% performance fee above 7% hurdle</x:t>
  </x:si>
  <x:si>
    <x:t xml:space="preserve">% p.a.</x:t>
  </x:si>
  <x:si>
    <x:t xml:space="preserve">OREO terms</x:t>
  </x:si>
  <x:si>
    <x:t xml:space="preserve">https://octopus.unitregistry.com.au/portal/resources/ocp/content/online-app/oreo_information_memorandum.pdf</x:t>
  </x:si>
  <x:si>
    <x:t xml:space="preserve">OREO Information Memorandum</x:t>
  </x:si>
  <x:si>
    <x:t xml:space="preserve">Inputs!C11:C13; Asset_Model!C30:V31</x:t>
  </x:si>
  <x:si>
    <x:t xml:space="preserve">Performance-fee formula corrected from 20% of all nominal gain to a terminal approximation of outperformance above the disclosed hurdle.</x:t>
  </x:si>
  <x:si>
    <x:t xml:space="preserve">Return assumptions</x:t>
  </x:si>
  <x:si>
    <x:t xml:space="preserve">%, x</x:t>
  </x:si>
  <x:si>
    <x:t xml:space="preserve">Jul-22 case</x:t>
  </x:si>
  <x:si>
    <x:t xml:space="preserve">Inputs!C33:C37;C50</x:t>
  </x:si>
  <x:si>
    <x:t xml:space="preserve">Risk-free rate</x:t>
  </x:si>
  <x:si>
    <x:t xml:space="preserve">1.35%</x:t>
  </x:si>
  <x:si>
    <x:t xml:space="preserve">8 Jul 2022</x:t>
  </x:si>
  <x:si>
    <x:t xml:space="preserve">https://www.rba.gov.au/statistics/cash-rate/</x:t>
  </x:si>
  <x:si>
    <x:t xml:space="preserve">Reserve Bank of Australia</x:t>
  </x:si>
  <x:si>
    <x:t xml:space="preserve">Inputs!C49</x:t>
  </x:si>
  <x:si>
    <x:t xml:space="preserve">RBA cash-rate target applicable at the July 2022 fund close.</x:t>
  </x:si>
  <x:si>
    <x:t xml:space="preserve">Valuation correction</x:t>
  </x:si>
  <x:si>
    <x:t xml:space="preserve">Exit-multiple method includes interim UFCF</x:t>
  </x:si>
  <x:si>
    <x:t xml:space="preserve">Formula</x:t>
  </x:si>
  <x:si>
    <x:t xml:space="preserve">Model v1.3</x:t>
  </x:si>
  <x:si>
    <x:t xml:space="preserve">Model audit</x:t>
  </x:si>
  <x:si>
    <x:t xml:space="preserve">Valuation!C14:C16</x:t>
  </x:si>
  <x:si>
    <x:t xml:space="preserve">Corrects the prior understatement that discounted only terminal enterprise value and omitted 20 years of operating cash flow.</x:t>
  </x:si>
</x:sst>
</file>

<file path=xl/styles.xml><?xml version="1.0" encoding="utf-8"?>
<x:styleSheet xmlns:x="http://schemas.openxmlformats.org/spreadsheetml/2006/main">
  <x:numFmts count="17">
    <x:numFmt numFmtId="8" formatCode="&quot;$&quot;#,##0.00;[Red]\-&quot;$&quot;#,##0.00"/>
    <x:numFmt numFmtId="43" formatCode="_-* #,##0.00_-;\-* #,##0.00_-;_-* &quot;-&quot;??_-;_-@_-"/>
    <x:numFmt numFmtId="164" formatCode="&quot;$&quot;#,##0;[Red]\(&quot;$&quot;#,##0\);\-"/>
    <x:numFmt numFmtId="165" formatCode="0.0%;[Red]\(0.0%\);\-"/>
    <x:numFmt numFmtId="166" formatCode="0.0\x"/>
    <x:numFmt numFmtId="167" formatCode="0.0%"/>
    <x:numFmt numFmtId="168" formatCode="&quot;Year &quot;0"/>
    <x:numFmt numFmtId="170" formatCode="0.00\x"/>
    <x:numFmt numFmtId="171" formatCode="0.00\x;[Red]\(0.00\x\);\-"/>
    <x:numFmt numFmtId="172" formatCode="\$#,##0;[Red]\(\$#,##0\);\-"/>
    <x:numFmt numFmtId="173" formatCode="m/d/yy"/>
    <x:numFmt numFmtId="200" formatCode="&quot;A$&quot;#,##0;[Red](&quot;A$&quot;#,##0);-"/>
    <x:numFmt numFmtId="201" formatCode="0.0%;[Red](0.0%);-"/>
    <x:numFmt numFmtId="202" formatCode="0.00x;[Red](0.00x);-"/>
    <x:numFmt numFmtId="203" formatCode="0.0x;[Red](0.0x);-"/>
    <x:numFmt numFmtId="204" formatCode="0.0000%;[Red](0.0000%);0.0000%"/>
    <x:numFmt numFmtId="205" formatCode="d-mmm-yy"/>
  </x:numFmts>
  <x:fonts count="33">
    <x:font>
      <x:sz val="11"/>
      <x:color theme="1"/>
      <x:name val="Aptos Narrow"/>
    </x:font>
    <x:font>
      <x:sz val="11"/>
      <x:color theme="1"/>
      <x:name val="Aptos Narrow"/>
    </x:font>
    <x:font>
      <x:sz val="11"/>
      <x:color theme="1"/>
      <x:name val="Calibri"/>
    </x:font>
    <x:font>
      <x:b/>
      <x:sz val="10"/>
      <x:color rgb="FFFFFFFF"/>
      <x:name val="Calibri"/>
    </x:font>
    <x:font>
      <x:i/>
      <x:sz val="10"/>
      <x:color rgb="FF666666"/>
      <x:name val="Calibri"/>
    </x:font>
    <x:font>
      <x:sz val="10"/>
      <x:color theme="1"/>
      <x:name val="Calibri"/>
    </x:font>
    <x:font>
      <x:i/>
      <x:sz val="10"/>
      <x:color theme="1"/>
      <x:name val="Calibri"/>
    </x:font>
    <x:font>
      <x:sz val="10"/>
      <x:color rgb="FF222222"/>
      <x:name val="Calibri"/>
    </x:font>
    <x:font>
      <x:b/>
      <x:sz val="10"/>
      <x:color rgb="FF222222"/>
      <x:name val="Calibri"/>
    </x:font>
    <x:font>
      <x:sz val="10"/>
      <x:color rgb="FF0070C0"/>
      <x:name val="Calibri"/>
    </x:font>
    <x:font>
      <x:b/>
      <x:sz val="11"/>
      <x:color theme="1"/>
      <x:name val="Calibri"/>
    </x:font>
    <x:font>
      <x:sz val="11"/>
      <x:color rgb="FF0070C0"/>
      <x:name val="Calibri"/>
    </x:font>
    <x:font>
      <x:b/>
      <x:sz val="10"/>
      <x:color theme="1"/>
      <x:name val="Calibri"/>
    </x:font>
    <x:font>
      <x:b/>
      <x:sz val="10"/>
      <x:color theme="1"/>
      <x:name val="Calibri"/>
    </x:font>
    <x:font>
      <x:sz val="10"/>
      <x:color theme="1"/>
      <x:name val="Calibri"/>
    </x:font>
    <x:font>
      <x:sz val="10"/>
      <x:color rgb="FF0070C0"/>
      <x:name val="Calibri"/>
    </x:font>
    <x:font>
      <x:sz val="10"/>
      <x:color rgb="FF202733"/>
      <x:name val="Aptos"/>
    </x:font>
    <x:font>
      <x:b/>
      <x:sz val="10"/>
      <x:color rgb="FFFFFFFF"/>
      <x:name val="Aptos"/>
    </x:font>
    <x:font>
      <x:b/>
      <x:sz val="15"/>
      <x:color rgb="FF172033"/>
      <x:name val="Aptos"/>
    </x:font>
    <x:font>
      <x:b/>
      <x:sz val="18"/>
      <x:color rgb="FFFFFFFF"/>
      <x:name val="Aptos"/>
    </x:font>
    <x:font>
      <x:i/>
      <x:sz val="10"/>
      <x:color rgb="FF667085"/>
      <x:name val="Aptos"/>
    </x:font>
    <x:font>
      <x:b/>
      <x:sz val="11"/>
      <x:color rgb="FF172033"/>
      <x:name val="Aptos"/>
    </x:font>
    <x:font>
      <x:b/>
      <x:sz val="10"/>
      <x:color rgb="FF172033"/>
      <x:name val="Aptos"/>
    </x:font>
    <x:font>
      <x:i/>
      <x:sz val="10"/>
      <x:color rgb="FF202733"/>
      <x:name val="Aptos"/>
    </x:font>
    <x:font>
      <x:i/>
      <x:sz val="9"/>
      <x:color rgb="FF202733"/>
      <x:name val="Aptos"/>
    </x:font>
    <x:font>
      <x:b/>
      <x:sz val="10"/>
      <x:color rgb="FF202733"/>
      <x:name val="Aptos"/>
    </x:font>
    <x:font>
      <x:b/>
      <x:sz val="14"/>
      <x:color rgb="FFFFFFFF"/>
      <x:name val="Aptos"/>
    </x:font>
    <x:font>
      <x:sz val="10"/>
      <x:color rgb="FF0000FF"/>
      <x:name val="Aptos"/>
    </x:font>
    <x:font>
      <x:b/>
      <x:sz val="9"/>
      <x:color rgb="FF202733"/>
      <x:name val="Aptos"/>
    </x:font>
    <x:font>
      <x:sz val="9"/>
      <x:color rgb="FF202733"/>
      <x:name val="Aptos"/>
    </x:font>
    <x:font>
      <x:b/>
      <x:sz val="9"/>
      <x:color rgb="FFFFFFFF"/>
      <x:name val="Aptos"/>
    </x:font>
    <x:font>
      <x:b/>
      <x:sz val="9"/>
      <x:color rgb="FF172033"/>
      <x:name val="Aptos"/>
    </x:font>
    <x:font>
      <x:sz val="10"/>
      <x:color rgb="FF008000"/>
      <x:name val="Aptos"/>
    </x:font>
  </x:fonts>
  <x:fills count="14">
    <x:fill>
      <x:patternFill patternType="none"/>
    </x:fill>
    <x:fill>
      <x:patternFill patternType="gray125"/>
    </x:fill>
    <x:fill>
      <x:patternFill patternType="solid">
        <x:fgColor rgb="FF1D2330"/>
      </x:patternFill>
    </x:fill>
    <x:fill>
      <x:patternFill patternType="solid">
        <x:fgColor rgb="FFFCE4D6"/>
      </x:patternFill>
    </x:fill>
    <x:fill>
      <x:patternFill patternType="solid">
        <x:fgColor rgb="FFE2E3E5"/>
      </x:patternFill>
    </x:fill>
    <x:fill>
      <x:patternFill patternType="solid">
        <x:fgColor rgb="FFEAF3F8"/>
      </x:patternFill>
    </x:fill>
    <x:fill>
      <x:patternFill patternType="solid">
        <x:fgColor rgb="FFFFFFFF"/>
      </x:patternFill>
    </x:fill>
    <x:fill>
      <x:patternFill patternType="solid">
        <x:fgColor rgb="FF195C55"/>
      </x:patternFill>
    </x:fill>
    <x:fill>
      <x:patternFill patternType="solid">
        <x:fgColor rgb="FFE8F3F1"/>
      </x:patternFill>
    </x:fill>
    <x:fill>
      <x:patternFill patternType="solid">
        <x:fgColor rgb="FF172033"/>
      </x:patternFill>
    </x:fill>
    <x:fill>
      <x:patternFill patternType="solid">
        <x:fgColor rgb="FF237A70"/>
      </x:patternFill>
    </x:fill>
    <x:fill>
      <x:patternFill patternType="solid">
        <x:fgColor rgb="FFEAF2F8"/>
      </x:patternFill>
    </x:fill>
    <x:fill>
      <x:patternFill patternType="solid">
        <x:fgColor rgb="FFEEF1F4"/>
      </x:patternFill>
    </x:fill>
    <x:fill>
      <x:patternFill patternType="solid">
        <x:fgColor rgb="FFFFF4D6"/>
      </x:patternFill>
    </x:fill>
  </x:fills>
  <x:borders count="18">
    <x:border/>
    <x:border>
      <x:bottom style="thick">
        <x:color rgb="FF1D2330"/>
      </x:bottom>
    </x:border>
    <x:border>
      <x:left style="thin">
        <x:color rgb="FFB7B7B7"/>
      </x:left>
    </x:border>
    <x:border>
      <x:top style="thin">
        <x:color auto="1"/>
      </x:top>
    </x:border>
    <x:border>
      <x:left style="thin">
        <x:color rgb="FF195C55"/>
      </x:left>
      <x:top style="thin">
        <x:color rgb="FF195C55"/>
      </x:top>
      <x:bottom style="thin">
        <x:color rgb="FF195C55"/>
      </x:bottom>
    </x:border>
    <x:border>
      <x:right style="thin">
        <x:color rgb="FF195C55"/>
      </x:right>
      <x:top style="thin">
        <x:color rgb="FF195C55"/>
      </x:top>
      <x:bottom style="thin">
        <x:color rgb="FF195C55"/>
      </x:bottom>
    </x:border>
    <x:border>
      <x:left style="thin">
        <x:color rgb="FFD4DAE1"/>
      </x:left>
      <x:top style="thin">
        <x:color rgb="FFD4DAE1"/>
      </x:top>
      <x:bottom style="thin">
        <x:color rgb="FFD4DAE1"/>
      </x:bottom>
    </x:border>
    <x:border>
      <x:right style="thin">
        <x:color rgb="FFD4DAE1"/>
      </x:right>
      <x:top style="thin">
        <x:color rgb="FFD4DAE1"/>
      </x:top>
      <x:bottom style="thin">
        <x:color rgb="FFD4DAE1"/>
      </x:bottom>
    </x:border>
    <x:border>
      <x:left style="thin">
        <x:color rgb="FFD4DAE1"/>
      </x:left>
      <x:top style="thin">
        <x:color rgb="FFD4DAE1"/>
      </x:top>
    </x:border>
    <x:border>
      <x:top style="thin">
        <x:color rgb="FFD4DAE1"/>
      </x:top>
    </x:border>
    <x:border>
      <x:right style="thin">
        <x:color rgb="FFD4DAE1"/>
      </x:right>
      <x:top style="thin">
        <x:color rgb="FFD4DAE1"/>
      </x:top>
    </x:border>
    <x:border>
      <x:left style="thin">
        <x:color rgb="FFD4DAE1"/>
      </x:left>
      <x:bottom style="thin">
        <x:color rgb="FFD4DAE1"/>
      </x:bottom>
    </x:border>
    <x:border>
      <x:bottom style="thin">
        <x:color rgb="FFD4DAE1"/>
      </x:bottom>
    </x:border>
    <x:border>
      <x:right style="thin">
        <x:color rgb="FFD4DAE1"/>
      </x:right>
      <x:bottom style="thin">
        <x:color rgb="FFD4DAE1"/>
      </x:bottom>
    </x:border>
    <x:border>
      <x:left style="thin">
        <x:color rgb="FFD4DAE1"/>
      </x:left>
      <x:right style="thin">
        <x:color rgb="FFD4DAE1"/>
      </x:right>
      <x:top style="thin">
        <x:color rgb="FFD4DAE1"/>
      </x:top>
      <x:bottom style="thin">
        <x:color rgb="FFD4DAE1"/>
      </x:bottom>
    </x:border>
    <x:border>
      <x:top style="thin">
        <x:color rgb="FFD4DAE1"/>
      </x:top>
      <x:bottom style="thin">
        <x:color rgb="FFD4DAE1"/>
      </x:bottom>
    </x:border>
    <x:border>
      <x:left style="thin">
        <x:color rgb="FFD4DAE1"/>
      </x:left>
    </x:border>
    <x:border>
      <x:right style="thin">
        <x:color rgb="FFD4DAE1"/>
      </x:right>
    </x:border>
  </x:borders>
  <x:cellStyleXfs count="2">
    <x:xf numFmtId="0" fontId="0" fillId="0" borderId="0"/>
    <x:xf numFmtId="43" fontId="1" fillId="0" borderId="0" applyFont="0" applyFill="0" applyBorder="0" applyAlignment="0" applyProtection="0"/>
  </x:cellStyleXfs>
  <x:cellXfs count="405">
    <x:xf numFmtId="0" fontId="0" fillId="0" borderId="0" xfId="0"/>
    <x:xf numFmtId="0" fontId="2" fillId="0" borderId="0" xfId="0" applyFont="1"/>
    <x:xf numFmtId="164" fontId="2" fillId="0" borderId="0" xfId="0" applyNumberFormat="1" applyFont="1"/>
    <x:xf numFmtId="165" fontId="2" fillId="0" borderId="0" xfId="0" applyNumberFormat="1" applyFont="1"/>
    <x:xf numFmtId="0" fontId="5" fillId="0" borderId="0" xfId="0" applyFont="1"/>
    <x:xf numFmtId="164" fontId="5" fillId="0" borderId="0" xfId="0" applyNumberFormat="1" applyFont="1"/>
    <x:xf numFmtId="0" fontId="5" fillId="0" borderId="0" xfId="0" applyFont="1" applyAlignment="1">
      <x:alignment vertical="center"/>
    </x:xf>
    <x:xf numFmtId="0" fontId="3" fillId="2" borderId="0" xfId="0" applyFont="1" applyFill="1" applyAlignment="1">
      <x:alignment horizontal="center" vertical="center"/>
    </x:xf>
    <x:xf numFmtId="164" fontId="5" fillId="0" borderId="0" xfId="0" applyNumberFormat="1" applyFont="1" applyAlignment="1">
      <x:alignment vertical="center"/>
    </x:xf>
    <x:xf numFmtId="165" fontId="5" fillId="0" borderId="0" xfId="0" applyNumberFormat="1" applyFont="1" applyAlignment="1">
      <x:alignment vertical="center"/>
    </x:xf>
    <x:xf numFmtId="9" fontId="5" fillId="0" borderId="0" xfId="0" applyNumberFormat="1" applyFont="1" applyAlignment="1">
      <x:alignment vertical="center"/>
    </x:xf>
    <x:xf numFmtId="8" fontId="5" fillId="0" borderId="0" xfId="0" applyNumberFormat="1" applyFont="1" applyAlignment="1">
      <x:alignment vertical="center"/>
    </x:xf>
    <x:xf numFmtId="0" fontId="8" fillId="4" borderId="0" xfId="0" applyFont="1" applyFill="1" applyAlignment="1">
      <x:alignment vertical="center"/>
    </x:xf>
    <x:xf numFmtId="0" fontId="9" fillId="5" borderId="0" xfId="0" applyFont="1" applyFill="1" applyAlignment="1">
      <x:alignment vertical="center"/>
    </x:xf>
    <x:xf numFmtId="166" fontId="9" fillId="5" borderId="0" xfId="0" applyNumberFormat="1" applyFont="1" applyFill="1" applyAlignment="1">
      <x:alignment vertical="center"/>
    </x:xf>
    <x:xf numFmtId="164" fontId="9" fillId="5" borderId="0" xfId="0" applyNumberFormat="1" applyFont="1" applyFill="1" applyAlignment="1">
      <x:alignment vertical="center"/>
    </x:xf>
    <x:xf numFmtId="0" fontId="3" fillId="2" borderId="1" xfId="0" applyFont="1" applyFill="1" applyBorder="1" applyAlignment="1">
      <x:alignment horizontal="center" vertical="center"/>
    </x:xf>
    <x:xf numFmtId="164" fontId="7" fillId="6" borderId="0" xfId="0" applyNumberFormat="1" applyFont="1" applyFill="1" applyAlignment="1">
      <x:alignment horizontal="right" vertical="center"/>
    </x:xf>
    <x:xf numFmtId="164" fontId="8" fillId="6" borderId="0" xfId="0" applyNumberFormat="1" applyFont="1" applyFill="1" applyAlignment="1">
      <x:alignment horizontal="right" vertical="center"/>
    </x:xf>
    <x:xf numFmtId="164" fontId="8" fillId="6" borderId="2" xfId="0" applyNumberFormat="1" applyFont="1" applyFill="1" applyBorder="1" applyAlignment="1">
      <x:alignment horizontal="right" vertical="center"/>
    </x:xf>
    <x:xf numFmtId="167" fontId="9" fillId="5" borderId="0" xfId="0" applyNumberFormat="1" applyFont="1" applyFill="1" applyAlignment="1">
      <x:alignment vertical="center"/>
    </x:xf>
    <x:xf numFmtId="1" fontId="9" fillId="5" borderId="0" xfId="0" applyNumberFormat="1" applyFont="1" applyFill="1" applyAlignment="1">
      <x:alignment vertical="center"/>
    </x:xf>
    <x:xf numFmtId="165" fontId="8" fillId="6" borderId="2" xfId="0" applyNumberFormat="1" applyFont="1" applyFill="1" applyBorder="1" applyAlignment="1">
      <x:alignment horizontal="right" vertical="center"/>
    </x:xf>
    <x:xf numFmtId="166" fontId="8" fillId="6" borderId="2" xfId="0" applyNumberFormat="1" applyFont="1" applyFill="1" applyBorder="1" applyAlignment="1">
      <x:alignment horizontal="right" vertical="center"/>
    </x:xf>
    <x:xf numFmtId="165" fontId="7" fillId="6" borderId="0" xfId="0" applyNumberFormat="1" applyFont="1" applyFill="1" applyAlignment="1">
      <x:alignment horizontal="right" vertical="center"/>
    </x:xf>
    <x:xf numFmtId="166" fontId="7" fillId="6" borderId="0" xfId="0" applyNumberFormat="1" applyFont="1" applyFill="1" applyAlignment="1">
      <x:alignment horizontal="right" vertical="center"/>
    </x:xf>
    <x:xf numFmtId="165" fontId="8" fillId="6" borderId="0" xfId="0" applyNumberFormat="1" applyFont="1" applyFill="1" applyAlignment="1">
      <x:alignment horizontal="right" vertical="center"/>
    </x:xf>
    <x:xf numFmtId="168" fontId="3" fillId="2" borderId="1" xfId="0" applyNumberFormat="1" applyFont="1" applyFill="1" applyBorder="1" applyAlignment="1">
      <x:alignment horizontal="center" vertical="center"/>
    </x:xf>
    <x:xf numFmtId="165" fontId="9" fillId="5" borderId="0" xfId="0" applyNumberFormat="1" applyFont="1" applyFill="1" applyAlignment="1">
      <x:alignment horizontal="right" vertical="center"/>
    </x:xf>
    <x:xf numFmtId="2" fontId="9" fillId="5" borderId="0" xfId="0" applyNumberFormat="1" applyFont="1" applyFill="1" applyAlignment="1">
      <x:alignment horizontal="right" vertical="center"/>
    </x:xf>
    <x:xf numFmtId="168" fontId="3" fillId="2" borderId="0" xfId="0" applyNumberFormat="1" applyFont="1" applyFill="1" applyAlignment="1">
      <x:alignment horizontal="center" vertical="center"/>
    </x:xf>
    <x:xf numFmtId="171" fontId="5" fillId="0" borderId="0" xfId="0" applyNumberFormat="1" applyFont="1" applyAlignment="1">
      <x:alignment vertical="center"/>
    </x:xf>
    <x:xf numFmtId="0" fontId="10" fillId="4" borderId="0" xfId="0" applyFont="1" applyFill="1"/>
    <x:xf numFmtId="0" fontId="11" fillId="5" borderId="0" xfId="0" applyFont="1" applyFill="1"/>
    <x:xf numFmtId="167" fontId="11" fillId="5" borderId="0" xfId="0" applyNumberFormat="1" applyFont="1" applyFill="1"/>
    <x:xf numFmtId="164" fontId="11" fillId="5" borderId="0" xfId="0" applyNumberFormat="1" applyFont="1" applyFill="1"/>
    <x:xf numFmtId="1" fontId="2" fillId="0" borderId="0" xfId="0" applyNumberFormat="1" applyFont="1"/>
    <x:xf numFmtId="0" fontId="10" fillId="0" borderId="0" xfId="0" applyFont="1"/>
    <x:xf numFmtId="0" fontId="3" fillId="2" borderId="0" xfId="0" applyFont="1" applyFill="1"/>
    <x:xf numFmtId="1" fontId="5" fillId="0" borderId="0" xfId="0" applyNumberFormat="1" applyFont="1"/>
    <x:xf numFmtId="170" fontId="5" fillId="0" borderId="0" xfId="0" applyNumberFormat="1" applyFont="1"/>
    <x:xf numFmtId="0" fontId="12" fillId="0" borderId="3" xfId="0" applyFont="1" applyBorder="1"/>
    <x:xf numFmtId="164" fontId="12" fillId="0" borderId="3" xfId="0" applyNumberFormat="1" applyFont="1" applyBorder="1"/>
    <x:xf numFmtId="0" fontId="12" fillId="0" borderId="0" xfId="0" applyFont="1"/>
    <x:xf numFmtId="164" fontId="12" fillId="0" borderId="0" xfId="0" applyNumberFormat="1" applyFont="1"/>
    <x:xf numFmtId="10" fontId="9" fillId="5" borderId="0" xfId="0" applyNumberFormat="1" applyFont="1" applyFill="1" applyAlignment="1">
      <x:alignment vertical="center"/>
    </x:xf>
    <x:xf numFmtId="1" fontId="9" fillId="0" borderId="0" xfId="0" applyNumberFormat="1" applyFont="1" applyAlignment="1">
      <x:alignment vertical="center"/>
    </x:xf>
    <x:xf numFmtId="0" fontId="13" fillId="4" borderId="0" xfId="0" applyFont="1" applyFill="1"/>
    <x:xf numFmtId="0" fontId="14" fillId="0" borderId="0" xfId="0" applyFont="1"/>
    <x:xf numFmtId="10" fontId="15" fillId="5" borderId="0" xfId="0" applyNumberFormat="1" applyFont="1" applyFill="1" applyAlignment="1">
      <x:alignment horizontal="right"/>
    </x:xf>
    <x:xf numFmtId="167" fontId="5" fillId="0" borderId="0" xfId="0" applyNumberFormat="1" applyFont="1" applyAlignment="1">
      <x:alignment vertical="center"/>
    </x:xf>
    <x:xf numFmtId="166" fontId="5" fillId="0" borderId="0" xfId="0" applyNumberFormat="1" applyFont="1" applyAlignment="1">
      <x:alignment vertical="center"/>
    </x:xf>
    <x:xf numFmtId="167" fontId="3" fillId="2" borderId="0" xfId="0" applyNumberFormat="1" applyFont="1" applyFill="1" applyAlignment="1">
      <x:alignment horizontal="center" vertical="center"/>
    </x:xf>
    <x:xf numFmtId="167" fontId="0" fillId="0" borderId="0" xfId="0" applyNumberFormat="1"/>
    <x:xf numFmtId="172" fontId="0" fillId="0" borderId="0" xfId="0" applyNumberFormat="1"/>
    <x:xf numFmtId="0" fontId="3" fillId="2" borderId="0" xfId="0" applyFont="1" applyFill="1" applyAlignment="1">
      <x:alignment horizontal="center" vertical="center" wrapText="1"/>
    </x:xf>
    <x:xf numFmtId="14" fontId="3" fillId="2" borderId="0" xfId="0" applyNumberFormat="1" applyFont="1" applyFill="1" applyAlignment="1">
      <x:alignment horizontal="center" vertical="center" wrapText="1"/>
    </x:xf>
    <x:xf numFmtId="0" fontId="5" fillId="0" borderId="0" xfId="0" applyFont="1" applyAlignment="1">
      <x:alignment vertical="center" wrapText="1"/>
    </x:xf>
    <x:xf numFmtId="14" fontId="5" fillId="0" borderId="0" xfId="0" applyNumberFormat="1" applyFont="1" applyAlignment="1">
      <x:alignment vertical="center" wrapText="1"/>
    </x:xf>
    <x:xf numFmtId="173" fontId="5" fillId="0" borderId="0" xfId="0" applyNumberFormat="1" applyFont="1" applyAlignment="1">
      <x:alignment vertical="center" wrapText="1"/>
    </x:xf>
    <x:xf numFmtId="0" fontId="2" fillId="0" borderId="0" xfId="0" applyFont="1" applyAlignment="1">
      <x:alignment wrapText="1"/>
    </x:xf>
    <x:xf numFmtId="14" fontId="2" fillId="0" borderId="0" xfId="0" applyNumberFormat="1" applyFont="1" applyAlignment="1">
      <x:alignment wrapText="1"/>
    </x:xf>
    <x:xf numFmtId="173" fontId="2" fillId="0" borderId="0" xfId="0" applyNumberFormat="1" applyFont="1" applyAlignment="1">
      <x:alignment wrapText="1"/>
    </x:xf>
    <x:xf numFmtId="14" fontId="0" fillId="0" borderId="0" xfId="0" applyNumberFormat="1" applyAlignment="1">
      <x:alignment wrapText="1"/>
    </x:xf>
    <x:xf numFmtId="0" fontId="0" fillId="0" borderId="0" xfId="0" applyAlignment="1">
      <x:alignment wrapText="1"/>
    </x:xf>
    <x:xf numFmtId="173" fontId="0" fillId="0" borderId="0" xfId="0" applyNumberFormat="1" applyAlignment="1">
      <x:alignment wrapText="1"/>
    </x:xf>
    <x:xf numFmtId="167" fontId="9" fillId="5" borderId="0" xfId="0" applyNumberFormat="1" applyFont="1" applyFill="1" applyAlignment="1">
      <x:alignment horizontal="right" vertical="center"/>
    </x:xf>
    <x:xf numFmtId="172" fontId="5" fillId="0" borderId="0" xfId="0" applyNumberFormat="1" applyFont="1" applyAlignment="1">
      <x:alignment vertical="center"/>
    </x:xf>
    <x:xf numFmtId="172" fontId="9" fillId="5" borderId="0" xfId="0" applyNumberFormat="1" applyFont="1" applyFill="1" applyAlignment="1">
      <x:alignment horizontal="right" vertical="center"/>
    </x:xf>
    <x:xf numFmtId="170" fontId="5" fillId="0" borderId="0" xfId="0" applyNumberFormat="1" applyFont="1" applyAlignment="1">
      <x:alignment vertical="center"/>
    </x:xf>
    <x:xf numFmtId="170" fontId="9" fillId="5" borderId="0" xfId="0" applyNumberFormat="1" applyFont="1" applyFill="1" applyAlignment="1">
      <x:alignment horizontal="right" vertical="center"/>
    </x:xf>
    <x:xf numFmtId="0" fontId="3" fillId="2" borderId="0" xfId="0" applyFont="1" applyFill="1" applyAlignment="1">
      <x:alignment vertical="center"/>
    </x:xf>
    <x:xf numFmtId="0" fontId="4" fillId="0" borderId="0" xfId="0" applyFont="1" applyAlignment="1">
      <x:alignment vertical="center"/>
    </x:xf>
    <x:xf numFmtId="0" fontId="5" fillId="0" borderId="0" xfId="0" applyFont="1" applyAlignment="1">
      <x:alignment vertical="center"/>
    </x:xf>
    <x:xf numFmtId="0" fontId="6" fillId="3" borderId="0" xfId="0" applyFont="1" applyFill="1" applyAlignment="1">
      <x:alignment vertical="center"/>
    </x:xf>
    <x:xf numFmtId="0" fontId="5" fillId="3" borderId="0" xfId="0" applyFont="1" applyFill="1" applyAlignment="1">
      <x:alignment vertical="center"/>
    </x:xf>
    <x:xf numFmtId="0" fontId="0" fillId="0" borderId="0" xfId="0" applyAlignment="1">
      <x:alignment horizontal="center" wrapText="1"/>
    </x:xf>
    <x:xf numFmtId="0" fontId="16" fillId="0" borderId="0" xfId="0" applyNumberFormat="1" applyFont="1" applyFill="1" applyBorder="1"/>
    <x:xf numFmtId="0" fontId="16" fillId="7" borderId="0" xfId="0" applyNumberFormat="1" applyFont="1" applyFill="1" applyBorder="1"/>
    <x:xf numFmtId="0" fontId="17" fillId="7" borderId="0" xfId="0" applyNumberFormat="1" applyFont="1" applyFill="1" applyBorder="1"/>
    <x:xf numFmtId="0" fontId="17" fillId="7" borderId="4" xfId="0" applyNumberFormat="1" applyFont="1" applyFill="1" applyBorder="1"/>
    <x:xf numFmtId="0" fontId="17" fillId="7" borderId="5" xfId="0" applyNumberFormat="1" applyFont="1" applyFill="1" applyBorder="1"/>
    <x:xf numFmtId="0" fontId="17" fillId="7" borderId="4" xfId="0" applyNumberFormat="1" applyFont="1" applyFill="1" applyBorder="1" applyAlignment="1">
      <x:alignment horizontal="center"/>
    </x:xf>
    <x:xf numFmtId="0" fontId="17" fillId="7" borderId="5" xfId="0" applyNumberFormat="1" applyFont="1" applyFill="1" applyBorder="1" applyAlignment="1">
      <x:alignment horizontal="center"/>
    </x:xf>
    <x:xf numFmtId="0" fontId="17" fillId="7" borderId="4" xfId="0" applyNumberFormat="1" applyFont="1" applyFill="1" applyBorder="1" applyAlignment="1">
      <x:alignment horizontal="center" vertical="center"/>
    </x:xf>
    <x:xf numFmtId="0" fontId="17" fillId="7" borderId="5" xfId="0" applyNumberFormat="1" applyFont="1" applyFill="1" applyBorder="1" applyAlignment="1">
      <x:alignment horizontal="center" vertical="center"/>
    </x:xf>
    <x:xf numFmtId="0" fontId="16" fillId="8" borderId="0" xfId="0" applyNumberFormat="1" applyFont="1" applyFill="1" applyBorder="1"/>
    <x:xf numFmtId="0" fontId="18" fillId="8" borderId="0" xfId="0" applyNumberFormat="1" applyFont="1" applyFill="1" applyBorder="1"/>
    <x:xf numFmtId="0" fontId="18" fillId="8" borderId="6" xfId="0" applyNumberFormat="1" applyFont="1" applyFill="1" applyBorder="1"/>
    <x:xf numFmtId="0" fontId="18" fillId="8" borderId="7" xfId="0" applyNumberFormat="1" applyFont="1" applyFill="1" applyBorder="1"/>
    <x:xf numFmtId="200" fontId="18" fillId="8" borderId="6" xfId="0" applyNumberFormat="1" applyFont="1" applyFill="1" applyBorder="1"/>
    <x:xf numFmtId="200" fontId="18" fillId="8" borderId="7" xfId="0" applyNumberFormat="1" applyFont="1" applyFill="1" applyBorder="1"/>
    <x:xf numFmtId="200" fontId="18" fillId="8" borderId="6" xfId="0" applyNumberFormat="1" applyFont="1" applyFill="1" applyBorder="1" applyAlignment="1">
      <x:alignment horizontal="center"/>
    </x:xf>
    <x:xf numFmtId="200" fontId="18" fillId="8" borderId="7" xfId="0" applyNumberFormat="1" applyFont="1" applyFill="1" applyBorder="1" applyAlignment="1">
      <x:alignment horizontal="center"/>
    </x:xf>
    <x:xf numFmtId="200" fontId="18" fillId="8" borderId="6" xfId="0" applyNumberFormat="1" applyFont="1" applyFill="1" applyBorder="1" applyAlignment="1">
      <x:alignment horizontal="center" vertical="center"/>
    </x:xf>
    <x:xf numFmtId="200" fontId="18" fillId="8" borderId="7" xfId="0" applyNumberFormat="1" applyFont="1" applyFill="1" applyBorder="1" applyAlignment="1">
      <x:alignment horizontal="center" vertical="center"/>
    </x:xf>
    <x:xf numFmtId="201" fontId="18" fillId="8" borderId="6" xfId="0" applyNumberFormat="1" applyFont="1" applyFill="1" applyBorder="1"/>
    <x:xf numFmtId="201" fontId="18" fillId="8" borderId="7" xfId="0" applyNumberFormat="1" applyFont="1" applyFill="1" applyBorder="1"/>
    <x:xf numFmtId="201" fontId="18" fillId="8" borderId="6" xfId="0" applyNumberFormat="1" applyFont="1" applyFill="1" applyBorder="1" applyAlignment="1">
      <x:alignment horizontal="center"/>
    </x:xf>
    <x:xf numFmtId="201" fontId="18" fillId="8" borderId="7" xfId="0" applyNumberFormat="1" applyFont="1" applyFill="1" applyBorder="1" applyAlignment="1">
      <x:alignment horizontal="center"/>
    </x:xf>
    <x:xf numFmtId="201" fontId="18" fillId="8" borderId="6" xfId="0" applyNumberFormat="1" applyFont="1" applyFill="1" applyBorder="1" applyAlignment="1">
      <x:alignment horizontal="center" vertical="center"/>
    </x:xf>
    <x:xf numFmtId="201" fontId="18" fillId="8" borderId="7" xfId="0" applyNumberFormat="1" applyFont="1" applyFill="1" applyBorder="1" applyAlignment="1">
      <x:alignment horizontal="center" vertical="center"/>
    </x:xf>
    <x:xf numFmtId="202" fontId="18" fillId="8" borderId="6" xfId="0" applyNumberFormat="1" applyFont="1" applyFill="1" applyBorder="1"/>
    <x:xf numFmtId="202" fontId="18" fillId="8" borderId="7" xfId="0" applyNumberFormat="1" applyFont="1" applyFill="1" applyBorder="1"/>
    <x:xf numFmtId="202" fontId="18" fillId="8" borderId="6" xfId="0" applyNumberFormat="1" applyFont="1" applyFill="1" applyBorder="1" applyAlignment="1">
      <x:alignment horizontal="center"/>
    </x:xf>
    <x:xf numFmtId="202" fontId="18" fillId="8" borderId="7" xfId="0" applyNumberFormat="1" applyFont="1" applyFill="1" applyBorder="1" applyAlignment="1">
      <x:alignment horizontal="center"/>
    </x:xf>
    <x:xf numFmtId="202" fontId="18" fillId="8" borderId="6" xfId="0" applyNumberFormat="1" applyFont="1" applyFill="1" applyBorder="1" applyAlignment="1">
      <x:alignment horizontal="center" vertical="center"/>
    </x:xf>
    <x:xf numFmtId="202" fontId="18" fillId="8" borderId="7" xfId="0" applyNumberFormat="1" applyFont="1" applyFill="1" applyBorder="1" applyAlignment="1">
      <x:alignment horizontal="center" vertical="center"/>
    </x:xf>
    <x:xf numFmtId="201" fontId="16" fillId="0" borderId="0" xfId="0" applyNumberFormat="1" applyFont="1" applyFill="1" applyBorder="1"/>
    <x:xf numFmtId="200" fontId="16" fillId="0" borderId="0" xfId="0" applyNumberFormat="1" applyFont="1" applyFill="1" applyBorder="1"/>
    <x:xf numFmtId="0" fontId="16" fillId="9" borderId="0" xfId="0" applyNumberFormat="1" applyFont="1" applyFill="1" applyBorder="1"/>
    <x:xf numFmtId="0" fontId="19" fillId="9" borderId="0" xfId="0" applyNumberFormat="1" applyFont="1" applyFill="1" applyBorder="1"/>
    <x:xf numFmtId="0" fontId="19" fillId="9" borderId="0" xfId="0" applyNumberFormat="1" applyFont="1" applyFill="1" applyBorder="1" applyAlignment="1">
      <x:alignment vertical="center"/>
    </x:xf>
    <x:xf numFmtId="0" fontId="20" fillId="0" borderId="0" xfId="0" applyNumberFormat="1" applyFont="1" applyFill="1" applyBorder="1"/>
    <x:xf numFmtId="0" fontId="20" fillId="0" borderId="0" xfId="0" applyNumberFormat="1" applyFont="1" applyFill="1" applyBorder="1" applyAlignment="1">
      <x:alignment vertical="center"/>
    </x:xf>
    <x:xf numFmtId="0" fontId="16" fillId="10" borderId="0" xfId="0" applyNumberFormat="1" applyFont="1" applyFill="1" applyBorder="1"/>
    <x:xf numFmtId="0" fontId="17" fillId="10" borderId="0" xfId="0" applyNumberFormat="1" applyFont="1" applyFill="1" applyBorder="1"/>
    <x:xf numFmtId="0" fontId="17" fillId="10" borderId="0" xfId="0" applyNumberFormat="1" applyFont="1" applyFill="1" applyBorder="1" applyAlignment="1">
      <x:alignment vertical="center"/>
    </x:xf>
    <x:xf numFmtId="0" fontId="16" fillId="8" borderId="8" xfId="0" applyNumberFormat="1" applyFont="1" applyFill="1" applyBorder="1"/>
    <x:xf numFmtId="0" fontId="16" fillId="8" borderId="9" xfId="0" applyNumberFormat="1" applyFont="1" applyFill="1" applyBorder="1"/>
    <x:xf numFmtId="0" fontId="16" fillId="8" borderId="10" xfId="0" applyNumberFormat="1" applyFont="1" applyFill="1" applyBorder="1"/>
    <x:xf numFmtId="0" fontId="16" fillId="8" borderId="11" xfId="0" applyNumberFormat="1" applyFont="1" applyFill="1" applyBorder="1"/>
    <x:xf numFmtId="0" fontId="16" fillId="8" borderId="12" xfId="0" applyNumberFormat="1" applyFont="1" applyFill="1" applyBorder="1"/>
    <x:xf numFmtId="0" fontId="16" fillId="8" borderId="13" xfId="0" applyNumberFormat="1" applyFont="1" applyFill="1" applyBorder="1"/>
    <x:xf numFmtId="0" fontId="16" fillId="8" borderId="8" xfId="0" applyNumberFormat="1" applyFont="1" applyFill="1" applyBorder="1" applyAlignment="1">
      <x:alignment wrapText="1"/>
    </x:xf>
    <x:xf numFmtId="0" fontId="16" fillId="8" borderId="9" xfId="0" applyNumberFormat="1" applyFont="1" applyFill="1" applyBorder="1" applyAlignment="1">
      <x:alignment wrapText="1"/>
    </x:xf>
    <x:xf numFmtId="0" fontId="16" fillId="8" borderId="10" xfId="0" applyNumberFormat="1" applyFont="1" applyFill="1" applyBorder="1" applyAlignment="1">
      <x:alignment wrapText="1"/>
    </x:xf>
    <x:xf numFmtId="0" fontId="16" fillId="8" borderId="11" xfId="0" applyNumberFormat="1" applyFont="1" applyFill="1" applyBorder="1" applyAlignment="1">
      <x:alignment wrapText="1"/>
    </x:xf>
    <x:xf numFmtId="0" fontId="16" fillId="8" borderId="12" xfId="0" applyNumberFormat="1" applyFont="1" applyFill="1" applyBorder="1" applyAlignment="1">
      <x:alignment wrapText="1"/>
    </x:xf>
    <x:xf numFmtId="0" fontId="16" fillId="8" borderId="13" xfId="0" applyNumberFormat="1" applyFont="1" applyFill="1" applyBorder="1" applyAlignment="1">
      <x:alignment wrapText="1"/>
    </x:xf>
    <x:xf numFmtId="0" fontId="16" fillId="8" borderId="8" xfId="0" applyNumberFormat="1" applyFont="1" applyFill="1" applyBorder="1" applyAlignment="1">
      <x:alignment vertical="center" wrapText="1"/>
    </x:xf>
    <x:xf numFmtId="0" fontId="16" fillId="8" borderId="9" xfId="0" applyNumberFormat="1" applyFont="1" applyFill="1" applyBorder="1" applyAlignment="1">
      <x:alignment vertical="center" wrapText="1"/>
    </x:xf>
    <x:xf numFmtId="0" fontId="16" fillId="8" borderId="10" xfId="0" applyNumberFormat="1" applyFont="1" applyFill="1" applyBorder="1" applyAlignment="1">
      <x:alignment vertical="center" wrapText="1"/>
    </x:xf>
    <x:xf numFmtId="0" fontId="16" fillId="8" borderId="11" xfId="0" applyNumberFormat="1" applyFont="1" applyFill="1" applyBorder="1" applyAlignment="1">
      <x:alignment vertical="center" wrapText="1"/>
    </x:xf>
    <x:xf numFmtId="0" fontId="16" fillId="8" borderId="12" xfId="0" applyNumberFormat="1" applyFont="1" applyFill="1" applyBorder="1" applyAlignment="1">
      <x:alignment vertical="center" wrapText="1"/>
    </x:xf>
    <x:xf numFmtId="0" fontId="16" fillId="8" borderId="13" xfId="0" applyNumberFormat="1" applyFont="1" applyFill="1" applyBorder="1" applyAlignment="1">
      <x:alignment vertical="center" wrapText="1"/>
    </x:xf>
    <x:xf numFmtId="0" fontId="16" fillId="11" borderId="0" xfId="0" applyNumberFormat="1" applyFont="1" applyFill="1" applyBorder="1"/>
    <x:xf numFmtId="0" fontId="21" fillId="11" borderId="0" xfId="0" applyNumberFormat="1" applyFont="1" applyFill="1" applyBorder="1"/>
    <x:xf numFmtId="0" fontId="21" fillId="11" borderId="8" xfId="0" applyNumberFormat="1" applyFont="1" applyFill="1" applyBorder="1"/>
    <x:xf numFmtId="0" fontId="21" fillId="11" borderId="9" xfId="0" applyNumberFormat="1" applyFont="1" applyFill="1" applyBorder="1"/>
    <x:xf numFmtId="0" fontId="21" fillId="11" borderId="10" xfId="0" applyNumberFormat="1" applyFont="1" applyFill="1" applyBorder="1"/>
    <x:xf numFmtId="0" fontId="21" fillId="11" borderId="11" xfId="0" applyNumberFormat="1" applyFont="1" applyFill="1" applyBorder="1"/>
    <x:xf numFmtId="0" fontId="21" fillId="11" borderId="12" xfId="0" applyNumberFormat="1" applyFont="1" applyFill="1" applyBorder="1"/>
    <x:xf numFmtId="0" fontId="21" fillId="11" borderId="13" xfId="0" applyNumberFormat="1" applyFont="1" applyFill="1" applyBorder="1"/>
    <x:xf numFmtId="0" fontId="21" fillId="11" borderId="8" xfId="0" applyNumberFormat="1" applyFont="1" applyFill="1" applyBorder="1" applyAlignment="1">
      <x:alignment wrapText="1"/>
    </x:xf>
    <x:xf numFmtId="0" fontId="21" fillId="11" borderId="9" xfId="0" applyNumberFormat="1" applyFont="1" applyFill="1" applyBorder="1" applyAlignment="1">
      <x:alignment wrapText="1"/>
    </x:xf>
    <x:xf numFmtId="0" fontId="21" fillId="11" borderId="10" xfId="0" applyNumberFormat="1" applyFont="1" applyFill="1" applyBorder="1" applyAlignment="1">
      <x:alignment wrapText="1"/>
    </x:xf>
    <x:xf numFmtId="0" fontId="21" fillId="11" borderId="11" xfId="0" applyNumberFormat="1" applyFont="1" applyFill="1" applyBorder="1" applyAlignment="1">
      <x:alignment wrapText="1"/>
    </x:xf>
    <x:xf numFmtId="0" fontId="21" fillId="11" borderId="12" xfId="0" applyNumberFormat="1" applyFont="1" applyFill="1" applyBorder="1" applyAlignment="1">
      <x:alignment wrapText="1"/>
    </x:xf>
    <x:xf numFmtId="0" fontId="21" fillId="11" borderId="13" xfId="0" applyNumberFormat="1" applyFont="1" applyFill="1" applyBorder="1" applyAlignment="1">
      <x:alignment wrapText="1"/>
    </x:xf>
    <x:xf numFmtId="0" fontId="21" fillId="11" borderId="8" xfId="0" applyNumberFormat="1" applyFont="1" applyFill="1" applyBorder="1" applyAlignment="1">
      <x:alignment vertical="center" wrapText="1"/>
    </x:xf>
    <x:xf numFmtId="0" fontId="21" fillId="11" borderId="9" xfId="0" applyNumberFormat="1" applyFont="1" applyFill="1" applyBorder="1" applyAlignment="1">
      <x:alignment vertical="center" wrapText="1"/>
    </x:xf>
    <x:xf numFmtId="0" fontId="21" fillId="11" borderId="10" xfId="0" applyNumberFormat="1" applyFont="1" applyFill="1" applyBorder="1" applyAlignment="1">
      <x:alignment vertical="center" wrapText="1"/>
    </x:xf>
    <x:xf numFmtId="0" fontId="21" fillId="11" borderId="11" xfId="0" applyNumberFormat="1" applyFont="1" applyFill="1" applyBorder="1" applyAlignment="1">
      <x:alignment vertical="center" wrapText="1"/>
    </x:xf>
    <x:xf numFmtId="0" fontId="21" fillId="11" borderId="12" xfId="0" applyNumberFormat="1" applyFont="1" applyFill="1" applyBorder="1" applyAlignment="1">
      <x:alignment vertical="center" wrapText="1"/>
    </x:xf>
    <x:xf numFmtId="0" fontId="21" fillId="11" borderId="13" xfId="0" applyNumberFormat="1" applyFont="1" applyFill="1" applyBorder="1" applyAlignment="1">
      <x:alignment vertical="center" wrapText="1"/>
    </x:xf>
    <x:xf numFmtId="0" fontId="17" fillId="9" borderId="0" xfId="0" applyNumberFormat="1" applyFont="1" applyFill="1" applyBorder="1"/>
    <x:xf numFmtId="0" fontId="17" fillId="9" borderId="0" xfId="0" applyNumberFormat="1" applyFont="1" applyFill="1" applyBorder="1" applyAlignment="1">
      <x:alignment horizontal="center"/>
    </x:xf>
    <x:xf numFmtId="0" fontId="17" fillId="9" borderId="0" xfId="0" applyNumberFormat="1" applyFont="1" applyFill="1" applyBorder="1" applyAlignment="1">
      <x:alignment horizontal="center" vertical="center"/>
    </x:xf>
    <x:xf numFmtId="0" fontId="16" fillId="0" borderId="14" xfId="0" applyNumberFormat="1" applyFont="1" applyFill="1" applyBorder="1"/>
    <x:xf numFmtId="201" fontId="16" fillId="0" borderId="14" xfId="0" applyNumberFormat="1" applyFont="1" applyFill="1" applyBorder="1"/>
    <x:xf numFmtId="200" fontId="16" fillId="0" borderId="14" xfId="0" applyNumberFormat="1" applyFont="1" applyFill="1" applyBorder="1"/>
    <x:xf numFmtId="0" fontId="16" fillId="0" borderId="14" xfId="0" applyNumberFormat="1" applyFont="1" applyFill="1" applyBorder="1" applyAlignment="1">
      <x:alignment vertical="center"/>
    </x:xf>
    <x:xf numFmtId="201" fontId="16" fillId="0" borderId="14" xfId="0" applyNumberFormat="1" applyFont="1" applyFill="1" applyBorder="1" applyAlignment="1">
      <x:alignment vertical="center"/>
    </x:xf>
    <x:xf numFmtId="200" fontId="16" fillId="0" borderId="14" xfId="0" applyNumberFormat="1" applyFont="1" applyFill="1" applyBorder="1" applyAlignment="1">
      <x:alignment vertical="center"/>
    </x:xf>
    <x:xf numFmtId="201" fontId="16" fillId="0" borderId="14" xfId="0" applyNumberFormat="1" applyFont="1" applyFill="1" applyBorder="1" applyAlignment="1">
      <x:alignment horizontal="right" vertical="center"/>
    </x:xf>
    <x:xf numFmtId="200" fontId="16" fillId="0" borderId="14" xfId="0" applyNumberFormat="1" applyFont="1" applyFill="1" applyBorder="1" applyAlignment="1">
      <x:alignment horizontal="right" vertical="center"/>
    </x:xf>
    <x:xf numFmtId="201" fontId="16" fillId="8" borderId="14" xfId="0" applyNumberFormat="1" applyFont="1" applyFill="1" applyBorder="1" applyAlignment="1">
      <x:alignment vertical="center"/>
    </x:xf>
    <x:xf numFmtId="200" fontId="16" fillId="8" borderId="14" xfId="0" applyNumberFormat="1" applyFont="1" applyFill="1" applyBorder="1" applyAlignment="1">
      <x:alignment vertical="center"/>
    </x:xf>
    <x:xf numFmtId="0" fontId="16" fillId="8" borderId="14" xfId="0" applyNumberFormat="1" applyFont="1" applyFill="1" applyBorder="1" applyAlignment="1">
      <x:alignment vertical="center"/>
    </x:xf>
    <x:xf numFmtId="201" fontId="22" fillId="8" borderId="14" xfId="0" applyNumberFormat="1" applyFont="1" applyFill="1" applyBorder="1" applyAlignment="1">
      <x:alignment vertical="center"/>
    </x:xf>
    <x:xf numFmtId="200" fontId="22" fillId="8" borderId="14" xfId="0" applyNumberFormat="1" applyFont="1" applyFill="1" applyBorder="1" applyAlignment="1">
      <x:alignment vertical="center"/>
    </x:xf>
    <x:xf numFmtId="0" fontId="22" fillId="8" borderId="14" xfId="0" applyNumberFormat="1" applyFont="1" applyFill="1" applyBorder="1" applyAlignment="1">
      <x:alignment vertical="center"/>
    </x:xf>
    <x:xf numFmtId="201" fontId="22" fillId="8" borderId="14" xfId="0" applyNumberFormat="1" applyFont="1" applyFill="1" applyBorder="1" applyAlignment="1">
      <x:alignment horizontal="center" vertical="center"/>
    </x:xf>
    <x:xf numFmtId="200" fontId="22" fillId="8" borderId="14" xfId="0" applyNumberFormat="1" applyFont="1" applyFill="1" applyBorder="1" applyAlignment="1">
      <x:alignment horizontal="center" vertical="center"/>
    </x:xf>
    <x:xf numFmtId="0" fontId="22" fillId="8" borderId="14" xfId="0" applyNumberFormat="1" applyFont="1" applyFill="1" applyBorder="1" applyAlignment="1">
      <x:alignment horizontal="center" vertical="center"/>
    </x:xf>
    <x:xf numFmtId="0" fontId="16" fillId="12" borderId="0" xfId="0" applyNumberFormat="1" applyFont="1" applyFill="1" applyBorder="1"/>
    <x:xf numFmtId="0" fontId="23" fillId="12" borderId="0" xfId="0" applyNumberFormat="1" applyFont="1" applyFill="1" applyBorder="1"/>
    <x:xf numFmtId="0" fontId="23" fillId="12" borderId="6" xfId="0" applyNumberFormat="1" applyFont="1" applyFill="1" applyBorder="1"/>
    <x:xf numFmtId="0" fontId="23" fillId="12" borderId="15" xfId="0" applyNumberFormat="1" applyFont="1" applyFill="1" applyBorder="1"/>
    <x:xf numFmtId="0" fontId="23" fillId="12" borderId="7" xfId="0" applyNumberFormat="1" applyFont="1" applyFill="1" applyBorder="1"/>
    <x:xf numFmtId="0" fontId="23" fillId="12" borderId="6" xfId="0" applyNumberFormat="1" applyFont="1" applyFill="1" applyBorder="1" applyAlignment="1">
      <x:alignment wrapText="1"/>
    </x:xf>
    <x:xf numFmtId="0" fontId="23" fillId="12" borderId="15" xfId="0" applyNumberFormat="1" applyFont="1" applyFill="1" applyBorder="1" applyAlignment="1">
      <x:alignment wrapText="1"/>
    </x:xf>
    <x:xf numFmtId="0" fontId="23" fillId="12" borderId="7" xfId="0" applyNumberFormat="1" applyFont="1" applyFill="1" applyBorder="1" applyAlignment="1">
      <x:alignment wrapText="1"/>
    </x:xf>
    <x:xf numFmtId="0" fontId="23" fillId="12" borderId="6" xfId="0" applyNumberFormat="1" applyFont="1" applyFill="1" applyBorder="1" applyAlignment="1">
      <x:alignment vertical="center" wrapText="1"/>
    </x:xf>
    <x:xf numFmtId="0" fontId="23" fillId="12" borderId="15" xfId="0" applyNumberFormat="1" applyFont="1" applyFill="1" applyBorder="1" applyAlignment="1">
      <x:alignment vertical="center" wrapText="1"/>
    </x:xf>
    <x:xf numFmtId="0" fontId="23" fillId="12" borderId="7" xfId="0" applyNumberFormat="1" applyFont="1" applyFill="1" applyBorder="1" applyAlignment="1">
      <x:alignment vertical="center" wrapText="1"/>
    </x:xf>
    <x:xf numFmtId="0" fontId="16" fillId="13" borderId="0" xfId="0" applyNumberFormat="1" applyFont="1" applyFill="1" applyBorder="1"/>
    <x:xf numFmtId="0" fontId="24" fillId="13" borderId="0" xfId="0" applyNumberFormat="1" applyFont="1" applyFill="1" applyBorder="1"/>
    <x:xf numFmtId="0" fontId="24" fillId="13" borderId="8" xfId="0" applyNumberFormat="1" applyFont="1" applyFill="1" applyBorder="1"/>
    <x:xf numFmtId="0" fontId="24" fillId="13" borderId="9" xfId="0" applyNumberFormat="1" applyFont="1" applyFill="1" applyBorder="1"/>
    <x:xf numFmtId="0" fontId="24" fillId="13" borderId="10" xfId="0" applyNumberFormat="1" applyFont="1" applyFill="1" applyBorder="1"/>
    <x:xf numFmtId="0" fontId="24" fillId="13" borderId="16" xfId="0" applyNumberFormat="1" applyFont="1" applyFill="1" applyBorder="1"/>
    <x:xf numFmtId="0" fontId="24" fillId="13" borderId="17" xfId="0" applyNumberFormat="1" applyFont="1" applyFill="1" applyBorder="1"/>
    <x:xf numFmtId="0" fontId="24" fillId="13" borderId="11" xfId="0" applyNumberFormat="1" applyFont="1" applyFill="1" applyBorder="1"/>
    <x:xf numFmtId="0" fontId="24" fillId="13" borderId="12" xfId="0" applyNumberFormat="1" applyFont="1" applyFill="1" applyBorder="1"/>
    <x:xf numFmtId="0" fontId="24" fillId="13" borderId="13" xfId="0" applyNumberFormat="1" applyFont="1" applyFill="1" applyBorder="1"/>
    <x:xf numFmtId="0" fontId="24" fillId="13" borderId="8" xfId="0" applyNumberFormat="1" applyFont="1" applyFill="1" applyBorder="1" applyAlignment="1">
      <x:alignment wrapText="1"/>
    </x:xf>
    <x:xf numFmtId="0" fontId="24" fillId="13" borderId="9" xfId="0" applyNumberFormat="1" applyFont="1" applyFill="1" applyBorder="1" applyAlignment="1">
      <x:alignment wrapText="1"/>
    </x:xf>
    <x:xf numFmtId="0" fontId="24" fillId="13" borderId="10" xfId="0" applyNumberFormat="1" applyFont="1" applyFill="1" applyBorder="1" applyAlignment="1">
      <x:alignment wrapText="1"/>
    </x:xf>
    <x:xf numFmtId="0" fontId="24" fillId="13" borderId="16" xfId="0" applyNumberFormat="1" applyFont="1" applyFill="1" applyBorder="1" applyAlignment="1">
      <x:alignment wrapText="1"/>
    </x:xf>
    <x:xf numFmtId="0" fontId="24" fillId="13" borderId="0" xfId="0" applyNumberFormat="1" applyFont="1" applyFill="1" applyBorder="1" applyAlignment="1">
      <x:alignment wrapText="1"/>
    </x:xf>
    <x:xf numFmtId="0" fontId="24" fillId="13" borderId="17" xfId="0" applyNumberFormat="1" applyFont="1" applyFill="1" applyBorder="1" applyAlignment="1">
      <x:alignment wrapText="1"/>
    </x:xf>
    <x:xf numFmtId="0" fontId="24" fillId="13" borderId="11" xfId="0" applyNumberFormat="1" applyFont="1" applyFill="1" applyBorder="1" applyAlignment="1">
      <x:alignment wrapText="1"/>
    </x:xf>
    <x:xf numFmtId="0" fontId="24" fillId="13" borderId="12" xfId="0" applyNumberFormat="1" applyFont="1" applyFill="1" applyBorder="1" applyAlignment="1">
      <x:alignment wrapText="1"/>
    </x:xf>
    <x:xf numFmtId="0" fontId="24" fillId="13" borderId="13" xfId="0" applyNumberFormat="1" applyFont="1" applyFill="1" applyBorder="1" applyAlignment="1">
      <x:alignment wrapText="1"/>
    </x:xf>
    <x:xf numFmtId="0" fontId="24" fillId="13" borderId="8" xfId="0" applyNumberFormat="1" applyFont="1" applyFill="1" applyBorder="1" applyAlignment="1">
      <x:alignment vertical="center" wrapText="1"/>
    </x:xf>
    <x:xf numFmtId="0" fontId="24" fillId="13" borderId="9" xfId="0" applyNumberFormat="1" applyFont="1" applyFill="1" applyBorder="1" applyAlignment="1">
      <x:alignment vertical="center" wrapText="1"/>
    </x:xf>
    <x:xf numFmtId="0" fontId="24" fillId="13" borderId="10" xfId="0" applyNumberFormat="1" applyFont="1" applyFill="1" applyBorder="1" applyAlignment="1">
      <x:alignment vertical="center" wrapText="1"/>
    </x:xf>
    <x:xf numFmtId="0" fontId="24" fillId="13" borderId="16" xfId="0" applyNumberFormat="1" applyFont="1" applyFill="1" applyBorder="1" applyAlignment="1">
      <x:alignment vertical="center" wrapText="1"/>
    </x:xf>
    <x:xf numFmtId="0" fontId="24" fillId="13" borderId="0" xfId="0" applyNumberFormat="1" applyFont="1" applyFill="1" applyBorder="1" applyAlignment="1">
      <x:alignment vertical="center" wrapText="1"/>
    </x:xf>
    <x:xf numFmtId="0" fontId="24" fillId="13" borderId="17" xfId="0" applyNumberFormat="1" applyFont="1" applyFill="1" applyBorder="1" applyAlignment="1">
      <x:alignment vertical="center" wrapText="1"/>
    </x:xf>
    <x:xf numFmtId="0" fontId="24" fillId="13" borderId="11" xfId="0" applyNumberFormat="1" applyFont="1" applyFill="1" applyBorder="1" applyAlignment="1">
      <x:alignment vertical="center" wrapText="1"/>
    </x:xf>
    <x:xf numFmtId="0" fontId="24" fillId="13" borderId="12" xfId="0" applyNumberFormat="1" applyFont="1" applyFill="1" applyBorder="1" applyAlignment="1">
      <x:alignment vertical="center" wrapText="1"/>
    </x:xf>
    <x:xf numFmtId="0" fontId="24" fillId="13" borderId="13" xfId="0" applyNumberFormat="1" applyFont="1" applyFill="1" applyBorder="1" applyAlignment="1">
      <x:alignment vertical="center" wrapText="1"/>
    </x:xf>
    <x:xf numFmtId="0" fontId="25" fillId="2" borderId="0" xfId="0" applyNumberFormat="1" applyFont="1" applyFill="1" applyBorder="1" applyAlignment="1">
      <x:alignment vertical="center"/>
    </x:xf>
    <x:xf numFmtId="0" fontId="23" fillId="0" borderId="0" xfId="0" applyNumberFormat="1" applyFont="1" applyFill="1" applyBorder="1" applyAlignment="1">
      <x:alignment vertical="center"/>
    </x:xf>
    <x:xf numFmtId="0" fontId="16" fillId="0" borderId="0" xfId="0" applyNumberFormat="1" applyFont="1" applyFill="1" applyBorder="1" applyAlignment="1">
      <x:alignment vertical="center"/>
    </x:xf>
    <x:xf numFmtId="0" fontId="25" fillId="2" borderId="1" xfId="0" applyNumberFormat="1" applyFont="1" applyFill="1" applyBorder="1" applyAlignment="1">
      <x:alignment horizontal="center" vertical="center"/>
    </x:xf>
    <x:xf numFmtId="0" fontId="25" fillId="4" borderId="0" xfId="0" applyNumberFormat="1" applyFont="1" applyFill="1" applyBorder="1" applyAlignment="1">
      <x:alignment vertical="center"/>
    </x:xf>
    <x:xf numFmtId="0" fontId="16" fillId="5" borderId="0" xfId="0" applyNumberFormat="1" applyFont="1" applyFill="1" applyBorder="1" applyAlignment="1">
      <x:alignment vertical="center"/>
    </x:xf>
    <x:xf numFmtId="164" fontId="16" fillId="5" borderId="0" xfId="0" applyNumberFormat="1" applyFont="1" applyFill="1" applyBorder="1" applyAlignment="1">
      <x:alignment vertical="center"/>
    </x:xf>
    <x:xf numFmtId="167" fontId="16" fillId="5" borderId="0" xfId="0" applyNumberFormat="1" applyFont="1" applyFill="1" applyBorder="1" applyAlignment="1">
      <x:alignment vertical="center"/>
    </x:xf>
    <x:xf numFmtId="1" fontId="16" fillId="5" borderId="0" xfId="0" applyNumberFormat="1" applyFont="1" applyFill="1" applyBorder="1" applyAlignment="1">
      <x:alignment vertical="center"/>
    </x:xf>
    <x:xf numFmtId="10" fontId="16" fillId="5" borderId="0" xfId="0" applyNumberFormat="1" applyFont="1" applyFill="1" applyBorder="1" applyAlignment="1">
      <x:alignment vertical="center"/>
    </x:xf>
    <x:xf numFmtId="167" fontId="16" fillId="0" borderId="0" xfId="0" applyNumberFormat="1" applyFont="1" applyFill="1" applyBorder="1" applyAlignment="1">
      <x:alignment vertical="center"/>
    </x:xf>
    <x:xf numFmtId="1" fontId="16" fillId="0" borderId="0" xfId="0" applyNumberFormat="1" applyFont="1" applyFill="1" applyBorder="1" applyAlignment="1">
      <x:alignment vertical="center"/>
    </x:xf>
    <x:xf numFmtId="166" fontId="16" fillId="5" borderId="0" xfId="0" applyNumberFormat="1" applyFont="1" applyFill="1" applyBorder="1" applyAlignment="1">
      <x:alignment vertical="center"/>
    </x:xf>
    <x:xf numFmtId="0" fontId="25" fillId="9" borderId="0" xfId="0" applyNumberFormat="1" applyFont="1" applyFill="1" applyBorder="1" applyAlignment="1">
      <x:alignment vertical="center"/>
    </x:xf>
    <x:xf numFmtId="0" fontId="26" fillId="9" borderId="0" xfId="0" applyNumberFormat="1" applyFont="1" applyFill="1" applyBorder="1" applyAlignment="1">
      <x:alignment vertical="center"/>
    </x:xf>
    <x:xf numFmtId="0" fontId="25" fillId="9" borderId="1" xfId="0" applyNumberFormat="1" applyFont="1" applyFill="1" applyBorder="1" applyAlignment="1">
      <x:alignment horizontal="center" vertical="center"/>
    </x:xf>
    <x:xf numFmtId="0" fontId="17" fillId="9" borderId="1" xfId="0" applyNumberFormat="1" applyFont="1" applyFill="1" applyBorder="1" applyAlignment="1">
      <x:alignment horizontal="center" vertical="center"/>
    </x:xf>
    <x:xf numFmtId="0" fontId="25" fillId="12" borderId="0" xfId="0" applyNumberFormat="1" applyFont="1" applyFill="1" applyBorder="1" applyAlignment="1">
      <x:alignment vertical="center"/>
    </x:xf>
    <x:xf numFmtId="0" fontId="22" fillId="12" borderId="0" xfId="0" applyNumberFormat="1" applyFont="1" applyFill="1" applyBorder="1" applyAlignment="1">
      <x:alignment vertical="center"/>
    </x:xf>
    <x:xf numFmtId="0" fontId="22" fillId="12" borderId="12" xfId="0" applyNumberFormat="1" applyFont="1" applyFill="1" applyBorder="1" applyAlignment="1">
      <x:alignment vertical="center"/>
    </x:xf>
    <x:xf numFmtId="0" fontId="22" fillId="12" borderId="0" xfId="0" applyNumberFormat="1" applyFont="1" applyFill="1" applyBorder="1"/>
    <x:xf numFmtId="0" fontId="22" fillId="12" borderId="12" xfId="0" applyNumberFormat="1" applyFont="1" applyFill="1" applyBorder="1"/>
    <x:xf numFmtId="0" fontId="16" fillId="11" borderId="0" xfId="0" applyNumberFormat="1" applyFont="1" applyFill="1" applyBorder="1" applyAlignment="1">
      <x:alignment vertical="center"/>
    </x:xf>
    <x:xf numFmtId="164" fontId="16" fillId="11" borderId="0" xfId="0" applyNumberFormat="1" applyFont="1" applyFill="1" applyBorder="1" applyAlignment="1">
      <x:alignment vertical="center"/>
    </x:xf>
    <x:xf numFmtId="167" fontId="16" fillId="11" borderId="0" xfId="0" applyNumberFormat="1" applyFont="1" applyFill="1" applyBorder="1" applyAlignment="1">
      <x:alignment vertical="center"/>
    </x:xf>
    <x:xf numFmtId="1" fontId="16" fillId="11" borderId="0" xfId="0" applyNumberFormat="1" applyFont="1" applyFill="1" applyBorder="1" applyAlignment="1">
      <x:alignment vertical="center"/>
    </x:xf>
    <x:xf numFmtId="10" fontId="16" fillId="11" borderId="0" xfId="0" applyNumberFormat="1" applyFont="1" applyFill="1" applyBorder="1" applyAlignment="1">
      <x:alignment vertical="center"/>
    </x:xf>
    <x:xf numFmtId="0" fontId="27" fillId="11" borderId="0" xfId="0" applyNumberFormat="1" applyFont="1" applyFill="1" applyBorder="1" applyAlignment="1">
      <x:alignment vertical="center"/>
    </x:xf>
    <x:xf numFmtId="164" fontId="27" fillId="11" borderId="0" xfId="0" applyNumberFormat="1" applyFont="1" applyFill="1" applyBorder="1" applyAlignment="1">
      <x:alignment vertical="center"/>
    </x:xf>
    <x:xf numFmtId="167" fontId="27" fillId="11" borderId="0" xfId="0" applyNumberFormat="1" applyFont="1" applyFill="1" applyBorder="1" applyAlignment="1">
      <x:alignment vertical="center"/>
    </x:xf>
    <x:xf numFmtId="1" fontId="27" fillId="11" borderId="0" xfId="0" applyNumberFormat="1" applyFont="1" applyFill="1" applyBorder="1" applyAlignment="1">
      <x:alignment vertical="center"/>
    </x:xf>
    <x:xf numFmtId="10" fontId="27" fillId="11" borderId="0" xfId="0" applyNumberFormat="1" applyFont="1" applyFill="1" applyBorder="1" applyAlignment="1">
      <x:alignment vertical="center"/>
    </x:xf>
    <x:xf numFmtId="0" fontId="27" fillId="11" borderId="0" xfId="0" applyNumberFormat="1" applyFont="1" applyFill="1" applyBorder="1" applyAlignment="1">
      <x:alignment horizontal="right" vertical="center"/>
    </x:xf>
    <x:xf numFmtId="164" fontId="27" fillId="11" borderId="0" xfId="0" applyNumberFormat="1" applyFont="1" applyFill="1" applyBorder="1" applyAlignment="1">
      <x:alignment horizontal="right" vertical="center"/>
    </x:xf>
    <x:xf numFmtId="167" fontId="27" fillId="11" borderId="0" xfId="0" applyNumberFormat="1" applyFont="1" applyFill="1" applyBorder="1" applyAlignment="1">
      <x:alignment horizontal="right" vertical="center"/>
    </x:xf>
    <x:xf numFmtId="1" fontId="27" fillId="11" borderId="0" xfId="0" applyNumberFormat="1" applyFont="1" applyFill="1" applyBorder="1" applyAlignment="1">
      <x:alignment horizontal="right" vertical="center"/>
    </x:xf>
    <x:xf numFmtId="10" fontId="27" fillId="11" borderId="0" xfId="0" applyNumberFormat="1" applyFont="1" applyFill="1" applyBorder="1" applyAlignment="1">
      <x:alignment horizontal="right" vertical="center"/>
    </x:xf>
    <x:xf numFmtId="166" fontId="16" fillId="11" borderId="0" xfId="0" applyNumberFormat="1" applyFont="1" applyFill="1" applyBorder="1" applyAlignment="1">
      <x:alignment vertical="center"/>
    </x:xf>
    <x:xf numFmtId="166" fontId="27" fillId="11" borderId="0" xfId="0" applyNumberFormat="1" applyFont="1" applyFill="1" applyBorder="1" applyAlignment="1">
      <x:alignment vertical="center"/>
    </x:xf>
    <x:xf numFmtId="166" fontId="27" fillId="11" borderId="0" xfId="0" applyNumberFormat="1" applyFont="1" applyFill="1" applyBorder="1" applyAlignment="1">
      <x:alignment horizontal="right" vertical="center"/>
    </x:xf>
    <x:xf numFmtId="201" fontId="16" fillId="8" borderId="0" xfId="0" applyNumberFormat="1" applyFont="1" applyFill="1" applyBorder="1"/>
    <x:xf numFmtId="201" fontId="16" fillId="8" borderId="0" xfId="0" applyNumberFormat="1" applyFont="1" applyFill="1" applyBorder="1" applyAlignment="1">
      <x:alignment horizontal="right"/>
    </x:xf>
    <x:xf numFmtId="0" fontId="27" fillId="11" borderId="0" xfId="0" applyNumberFormat="1" applyFont="1" applyFill="1" applyBorder="1"/>
    <x:xf numFmtId="201" fontId="27" fillId="11" borderId="0" xfId="0" applyNumberFormat="1" applyFont="1" applyFill="1" applyBorder="1"/>
    <x:xf numFmtId="201" fontId="27" fillId="11" borderId="0" xfId="0" applyNumberFormat="1" applyFont="1" applyFill="1" applyBorder="1" applyAlignment="1">
      <x:alignment horizontal="right"/>
    </x:xf>
    <x:xf numFmtId="201" fontId="16" fillId="8" borderId="0" xfId="0" applyNumberFormat="1" applyFont="1" applyFill="1" applyBorder="1" applyAlignment="1">
      <x:alignment horizontal="right" vertical="center"/>
    </x:xf>
    <x:xf numFmtId="201" fontId="27" fillId="11" borderId="0" xfId="0" applyNumberFormat="1" applyFont="1" applyFill="1" applyBorder="1" applyAlignment="1">
      <x:alignment horizontal="right" vertical="center"/>
    </x:xf>
    <x:xf numFmtId="0" fontId="27" fillId="11" borderId="0" xfId="0" applyNumberFormat="1" applyFont="1" applyFill="1" applyBorder="1" applyAlignment="1">
      <x:alignment horizontal="left" vertical="center"/>
    </x:xf>
    <x:xf numFmtId="0" fontId="27" fillId="11" borderId="0" xfId="0" applyNumberFormat="1" applyFont="1" applyFill="1" applyBorder="1" applyAlignment="1">
      <x:alignment horizontal="left" vertical="center" wrapText="1"/>
    </x:xf>
    <x:xf numFmtId="0" fontId="17" fillId="9" borderId="1" xfId="0" applyNumberFormat="1" applyFont="1" applyFill="1" applyBorder="1" applyAlignment="1">
      <x:alignment horizontal="center" vertical="center" wrapText="1"/>
    </x:xf>
    <x:xf numFmtId="0" fontId="22" fillId="12" borderId="12" xfId="0" applyNumberFormat="1" applyFont="1" applyFill="1" applyBorder="1" applyAlignment="1">
      <x:alignment vertical="center" wrapText="1"/>
    </x:xf>
    <x:xf numFmtId="0" fontId="16" fillId="0" borderId="0" xfId="0" applyNumberFormat="1" applyFont="1" applyFill="1" applyBorder="1" applyAlignment="1">
      <x:alignment vertical="center" wrapText="1"/>
    </x:xf>
    <x:xf numFmtId="0" fontId="28" fillId="2" borderId="0" xfId="0" applyNumberFormat="1" applyFont="1" applyFill="1" applyBorder="1" applyAlignment="1">
      <x:alignment vertical="center"/>
    </x:xf>
    <x:xf numFmtId="0" fontId="29" fillId="0" borderId="0" xfId="0" applyNumberFormat="1" applyFont="1" applyFill="1" applyBorder="1" applyAlignment="1">
      <x:alignment vertical="center"/>
    </x:xf>
    <x:xf numFmtId="0" fontId="29" fillId="0" borderId="0" xfId="0" applyNumberFormat="1" applyFont="1" applyFill="1" applyBorder="1"/>
    <x:xf numFmtId="0" fontId="24" fillId="0" borderId="0" xfId="0" applyNumberFormat="1" applyFont="1" applyFill="1" applyBorder="1" applyAlignment="1">
      <x:alignment vertical="center"/>
    </x:xf>
    <x:xf numFmtId="0" fontId="28" fillId="2" borderId="1" xfId="0" applyNumberFormat="1" applyFont="1" applyFill="1" applyBorder="1" applyAlignment="1">
      <x:alignment horizontal="center" vertical="center"/>
    </x:xf>
    <x:xf numFmtId="168" fontId="28" fillId="2" borderId="1" xfId="0" applyNumberFormat="1" applyFont="1" applyFill="1" applyBorder="1" applyAlignment="1">
      <x:alignment horizontal="center" vertical="center"/>
    </x:xf>
    <x:xf numFmtId="168" fontId="28" fillId="2" borderId="0" xfId="0" applyNumberFormat="1" applyFont="1" applyFill="1" applyBorder="1" applyAlignment="1">
      <x:alignment horizontal="center" vertical="center"/>
    </x:xf>
    <x:xf numFmtId="0" fontId="28" fillId="4" borderId="0" xfId="0" applyNumberFormat="1" applyFont="1" applyFill="1" applyBorder="1" applyAlignment="1">
      <x:alignment vertical="center"/>
    </x:xf>
    <x:xf numFmtId="164" fontId="29" fillId="6" borderId="0" xfId="0" applyNumberFormat="1" applyFont="1" applyFill="1" applyBorder="1" applyAlignment="1">
      <x:alignment horizontal="right" vertical="center"/>
    </x:xf>
    <x:xf numFmtId="165" fontId="29" fillId="0" borderId="0" xfId="0" applyNumberFormat="1" applyFont="1" applyFill="1" applyBorder="1" applyAlignment="1">
      <x:alignment vertical="center"/>
    </x:xf>
    <x:xf numFmtId="0" fontId="28" fillId="9" borderId="0" xfId="0" applyNumberFormat="1" applyFont="1" applyFill="1" applyBorder="1" applyAlignment="1">
      <x:alignment vertical="center"/>
    </x:xf>
    <x:xf numFmtId="0" fontId="29" fillId="9" borderId="0" xfId="0" applyNumberFormat="1" applyFont="1" applyFill="1" applyBorder="1" applyAlignment="1">
      <x:alignment vertical="center"/>
    </x:xf>
    <x:xf numFmtId="0" fontId="29" fillId="9" borderId="0" xfId="0" applyNumberFormat="1" applyFont="1" applyFill="1" applyBorder="1"/>
    <x:xf numFmtId="0" fontId="26" fillId="9" borderId="0" xfId="0" applyNumberFormat="1" applyFont="1" applyFill="1" applyBorder="1"/>
    <x:xf numFmtId="0" fontId="28" fillId="9" borderId="1" xfId="0" applyNumberFormat="1" applyFont="1" applyFill="1" applyBorder="1" applyAlignment="1">
      <x:alignment horizontal="center" vertical="center"/>
    </x:xf>
    <x:xf numFmtId="168" fontId="28" fillId="9" borderId="1" xfId="0" applyNumberFormat="1" applyFont="1" applyFill="1" applyBorder="1" applyAlignment="1">
      <x:alignment horizontal="center" vertical="center"/>
    </x:xf>
    <x:xf numFmtId="168" fontId="28" fillId="9" borderId="0" xfId="0" applyNumberFormat="1" applyFont="1" applyFill="1" applyBorder="1" applyAlignment="1">
      <x:alignment horizontal="center" vertical="center"/>
    </x:xf>
    <x:xf numFmtId="0" fontId="30" fillId="9" borderId="1" xfId="0" applyNumberFormat="1" applyFont="1" applyFill="1" applyBorder="1" applyAlignment="1">
      <x:alignment horizontal="center" vertical="center"/>
    </x:xf>
    <x:xf numFmtId="168" fontId="30" fillId="9" borderId="1" xfId="0" applyNumberFormat="1" applyFont="1" applyFill="1" applyBorder="1" applyAlignment="1">
      <x:alignment horizontal="center" vertical="center"/>
    </x:xf>
    <x:xf numFmtId="168" fontId="30" fillId="9" borderId="0" xfId="0" applyNumberFormat="1" applyFont="1" applyFill="1" applyBorder="1" applyAlignment="1">
      <x:alignment horizontal="center" vertical="center"/>
    </x:xf>
    <x:xf numFmtId="0" fontId="30" fillId="9" borderId="1" xfId="0" applyNumberFormat="1" applyFont="1" applyFill="1" applyBorder="1" applyAlignment="1">
      <x:alignment horizontal="right" vertical="center"/>
    </x:xf>
    <x:xf numFmtId="168" fontId="30" fillId="9" borderId="1" xfId="0" applyNumberFormat="1" applyFont="1" applyFill="1" applyBorder="1" applyAlignment="1">
      <x:alignment horizontal="right" vertical="center"/>
    </x:xf>
    <x:xf numFmtId="168" fontId="30" fillId="9" borderId="0" xfId="0" applyNumberFormat="1" applyFont="1" applyFill="1" applyBorder="1" applyAlignment="1">
      <x:alignment horizontal="right" vertical="center"/>
    </x:xf>
    <x:xf numFmtId="0" fontId="30" fillId="9" borderId="1" xfId="0" applyNumberFormat="1" applyFont="1" applyFill="1" applyBorder="1" applyAlignment="1">
      <x:alignment horizontal="left" vertical="center"/>
    </x:xf>
    <x:xf numFmtId="0" fontId="28" fillId="12" borderId="0" xfId="0" applyNumberFormat="1" applyFont="1" applyFill="1" applyBorder="1" applyAlignment="1">
      <x:alignment vertical="center"/>
    </x:xf>
    <x:xf numFmtId="0" fontId="31" fillId="12" borderId="0" xfId="0" applyNumberFormat="1" applyFont="1" applyFill="1" applyBorder="1" applyAlignment="1">
      <x:alignment vertical="center"/>
    </x:xf>
    <x:xf numFmtId="0" fontId="31" fillId="12" borderId="12" xfId="0" applyNumberFormat="1" applyFont="1" applyFill="1" applyBorder="1" applyAlignment="1">
      <x:alignment vertical="center"/>
    </x:xf>
    <x:xf numFmtId="164" fontId="29" fillId="12" borderId="0" xfId="0" applyNumberFormat="1" applyFont="1" applyFill="1" applyBorder="1" applyAlignment="1">
      <x:alignment horizontal="right" vertical="center"/>
    </x:xf>
    <x:xf numFmtId="164" fontId="31" fillId="12" borderId="0" xfId="0" applyNumberFormat="1" applyFont="1" applyFill="1" applyBorder="1" applyAlignment="1">
      <x:alignment horizontal="right" vertical="center"/>
    </x:xf>
    <x:xf numFmtId="164" fontId="31" fillId="12" borderId="12" xfId="0" applyNumberFormat="1" applyFont="1" applyFill="1" applyBorder="1" applyAlignment="1">
      <x:alignment horizontal="right" vertical="center"/>
    </x:xf>
    <x:xf numFmtId="0" fontId="26" fillId="9" borderId="0" xfId="0" applyNumberFormat="1" applyFont="1" applyFill="1" applyBorder="1" applyAlignment="1">
      <x:alignment horizontal="left" vertical="center"/>
    </x:xf>
    <x:xf numFmtId="0" fontId="20" fillId="0" borderId="0" xfId="0" applyNumberFormat="1" applyFont="1" applyFill="1" applyBorder="1" applyAlignment="1">
      <x:alignment horizontal="left" vertical="center"/>
    </x:xf>
    <x:xf numFmtId="0" fontId="29" fillId="0" borderId="0" xfId="0" applyNumberFormat="1" applyFont="1" applyFill="1" applyBorder="1" applyAlignment="1">
      <x:alignment horizontal="left" vertical="center"/>
    </x:xf>
    <x:xf numFmtId="0" fontId="31" fillId="12" borderId="12" xfId="0" applyNumberFormat="1" applyFont="1" applyFill="1" applyBorder="1" applyAlignment="1">
      <x:alignment horizontal="left" vertical="center"/>
    </x:xf>
    <x:xf numFmtId="0" fontId="29" fillId="0" borderId="0" xfId="0" applyNumberFormat="1" applyFont="1" applyFill="1" applyBorder="1" applyAlignment="1">
      <x:alignment horizontal="right" vertical="center"/>
    </x:xf>
    <x:xf numFmtId="0" fontId="29" fillId="0" borderId="0" xfId="0" applyNumberFormat="1" applyFont="1" applyFill="1" applyBorder="1" applyAlignment="1">
      <x:alignment horizontal="right"/>
    </x:xf>
    <x:xf numFmtId="0" fontId="31" fillId="12" borderId="12" xfId="0" applyNumberFormat="1" applyFont="1" applyFill="1" applyBorder="1" applyAlignment="1">
      <x:alignment horizontal="right" vertical="center"/>
    </x:xf>
    <x:xf numFmtId="165" fontId="29" fillId="0" borderId="0" xfId="0" applyNumberFormat="1" applyFont="1" applyFill="1" applyBorder="1" applyAlignment="1">
      <x:alignment horizontal="right" vertical="center"/>
    </x:xf>
    <x:xf numFmtId="0" fontId="25" fillId="2" borderId="0" xfId="0" applyNumberFormat="1" applyFont="1" applyFill="1" applyBorder="1" applyAlignment="1">
      <x:alignment horizontal="center" vertical="center"/>
    </x:xf>
    <x:xf numFmtId="164" fontId="25" fillId="6" borderId="2" xfId="0" applyNumberFormat="1" applyFont="1" applyFill="1" applyBorder="1" applyAlignment="1">
      <x:alignment horizontal="right" vertical="center"/>
    </x:xf>
    <x:xf numFmtId="166" fontId="16" fillId="0" borderId="0" xfId="0" applyNumberFormat="1" applyFont="1" applyFill="1" applyBorder="1" applyAlignment="1">
      <x:alignment vertical="center"/>
    </x:xf>
    <x:xf numFmtId="165" fontId="25" fillId="6" borderId="2" xfId="0" applyNumberFormat="1" applyFont="1" applyFill="1" applyBorder="1" applyAlignment="1">
      <x:alignment horizontal="right" vertical="center"/>
    </x:xf>
    <x:xf numFmtId="167" fontId="25" fillId="2" borderId="0" xfId="0" applyNumberFormat="1" applyFont="1" applyFill="1" applyBorder="1" applyAlignment="1">
      <x:alignment horizontal="center" vertical="center"/>
    </x:xf>
    <x:xf numFmtId="164" fontId="16" fillId="6" borderId="0" xfId="0" applyNumberFormat="1" applyFont="1" applyFill="1" applyBorder="1" applyAlignment="1">
      <x:alignment horizontal="right" vertical="center"/>
    </x:xf>
    <x:xf numFmtId="166" fontId="25" fillId="6" borderId="2" xfId="0" applyNumberFormat="1" applyFont="1" applyFill="1" applyBorder="1" applyAlignment="1">
      <x:alignment horizontal="right" vertical="center"/>
    </x:xf>
    <x:xf numFmtId="0" fontId="25" fillId="9" borderId="0" xfId="0" applyNumberFormat="1" applyFont="1" applyFill="1" applyBorder="1" applyAlignment="1">
      <x:alignment horizontal="center" vertical="center"/>
    </x:xf>
    <x:xf numFmtId="0" fontId="16" fillId="10" borderId="0" xfId="0" applyNumberFormat="1" applyFont="1" applyFill="1" applyBorder="1" applyAlignment="1">
      <x:alignment vertical="center"/>
    </x:xf>
    <x:xf numFmtId="167" fontId="25" fillId="9" borderId="0" xfId="0" applyNumberFormat="1" applyFont="1" applyFill="1" applyBorder="1" applyAlignment="1">
      <x:alignment horizontal="center" vertical="center"/>
    </x:xf>
    <x:xf numFmtId="167" fontId="17" fillId="9" borderId="0" xfId="0" applyNumberFormat="1" applyFont="1" applyFill="1" applyBorder="1" applyAlignment="1">
      <x:alignment horizontal="center" vertical="center"/>
    </x:xf>
    <x:xf numFmtId="0" fontId="17" fillId="9" borderId="0" xfId="0" applyNumberFormat="1" applyFont="1" applyFill="1" applyBorder="1" applyAlignment="1">
      <x:alignment horizontal="right" vertical="center"/>
    </x:xf>
    <x:xf numFmtId="167" fontId="17" fillId="9" borderId="0" xfId="0" applyNumberFormat="1" applyFont="1" applyFill="1" applyBorder="1" applyAlignment="1">
      <x:alignment horizontal="right" vertical="center"/>
    </x:xf>
    <x:xf numFmtId="0" fontId="17" fillId="9" borderId="0" xfId="0" applyNumberFormat="1" applyFont="1" applyFill="1" applyBorder="1" applyAlignment="1">
      <x:alignment horizontal="center" vertical="center" wrapText="1"/>
    </x:xf>
    <x:xf numFmtId="0" fontId="28" fillId="2" borderId="0" xfId="0" applyNumberFormat="1" applyFont="1" applyFill="1" applyBorder="1" applyAlignment="1">
      <x:alignment horizontal="center" vertical="center"/>
    </x:xf>
    <x:xf numFmtId="165" fontId="29" fillId="6" borderId="0" xfId="0" applyNumberFormat="1" applyFont="1" applyFill="1" applyBorder="1" applyAlignment="1">
      <x:alignment horizontal="right" vertical="center"/>
    </x:xf>
    <x:xf numFmtId="166" fontId="29" fillId="6" borderId="0" xfId="0" applyNumberFormat="1" applyFont="1" applyFill="1" applyBorder="1" applyAlignment="1">
      <x:alignment horizontal="right" vertical="center"/>
    </x:xf>
    <x:xf numFmtId="165" fontId="28" fillId="6" borderId="0" xfId="0" applyNumberFormat="1" applyFont="1" applyFill="1" applyBorder="1" applyAlignment="1">
      <x:alignment horizontal="right" vertical="center"/>
    </x:xf>
    <x:xf numFmtId="8" fontId="29" fillId="0" borderId="0" xfId="0" applyNumberFormat="1" applyFont="1" applyFill="1" applyBorder="1" applyAlignment="1">
      <x:alignment vertical="center"/>
    </x:xf>
    <x:xf numFmtId="164" fontId="28" fillId="6" borderId="0" xfId="0" applyNumberFormat="1" applyFont="1" applyFill="1" applyBorder="1" applyAlignment="1">
      <x:alignment horizontal="right" vertical="center"/>
    </x:xf>
    <x:xf numFmtId="171" fontId="29" fillId="0" borderId="0" xfId="0" applyNumberFormat="1" applyFont="1" applyFill="1" applyBorder="1" applyAlignment="1">
      <x:alignment vertical="center"/>
    </x:xf>
    <x:xf numFmtId="9" fontId="29" fillId="0" borderId="0" xfId="0" applyNumberFormat="1" applyFont="1" applyFill="1" applyBorder="1" applyAlignment="1">
      <x:alignment vertical="center"/>
    </x:xf>
    <x:xf numFmtId="0" fontId="24" fillId="3" borderId="0" xfId="0" applyNumberFormat="1" applyFont="1" applyFill="1" applyBorder="1" applyAlignment="1">
      <x:alignment vertical="center"/>
    </x:xf>
    <x:xf numFmtId="0" fontId="29" fillId="3" borderId="0" xfId="0" applyNumberFormat="1" applyFont="1" applyFill="1" applyBorder="1" applyAlignment="1">
      <x:alignment vertical="center"/>
    </x:xf>
    <x:xf numFmtId="0" fontId="28" fillId="9" borderId="0" xfId="0" applyNumberFormat="1" applyFont="1" applyFill="1" applyBorder="1" applyAlignment="1">
      <x:alignment horizontal="center" vertical="center"/>
    </x:xf>
    <x:xf numFmtId="0" fontId="30" fillId="9" borderId="0" xfId="0" applyNumberFormat="1" applyFont="1" applyFill="1" applyBorder="1" applyAlignment="1">
      <x:alignment horizontal="center" vertical="center"/>
    </x:xf>
    <x:xf numFmtId="0" fontId="30" fillId="9" borderId="0" xfId="0" applyNumberFormat="1" applyFont="1" applyFill="1" applyBorder="1" applyAlignment="1">
      <x:alignment vertical="center"/>
    </x:xf>
    <x:xf numFmtId="0" fontId="30" fillId="9" borderId="0" xfId="0" applyNumberFormat="1" applyFont="1" applyFill="1" applyBorder="1" applyAlignment="1">
      <x:alignment horizontal="right" vertical="center"/>
    </x:xf>
    <x:xf numFmtId="0" fontId="30" fillId="9" borderId="0" xfId="0" applyNumberFormat="1" applyFont="1" applyFill="1" applyBorder="1" applyAlignment="1">
      <x:alignment horizontal="left" vertical="center"/>
    </x:xf>
    <x:xf numFmtId="0" fontId="29" fillId="10" borderId="0" xfId="0" applyNumberFormat="1" applyFont="1" applyFill="1" applyBorder="1" applyAlignment="1">
      <x:alignment vertical="center"/>
    </x:xf>
    <x:xf numFmtId="0" fontId="30" fillId="10" borderId="0" xfId="0" applyNumberFormat="1" applyFont="1" applyFill="1" applyBorder="1" applyAlignment="1">
      <x:alignment vertical="center"/>
    </x:xf>
    <x:xf numFmtId="0" fontId="29" fillId="13" borderId="0" xfId="0" applyNumberFormat="1" applyFont="1" applyFill="1" applyBorder="1" applyAlignment="1">
      <x:alignment vertical="center"/>
    </x:xf>
    <x:xf numFmtId="0" fontId="29" fillId="13" borderId="0" xfId="0" applyNumberFormat="1" applyFont="1" applyFill="1" applyBorder="1"/>
    <x:xf numFmtId="0" fontId="24" fillId="13" borderId="0" xfId="0" applyNumberFormat="1" applyFont="1" applyFill="1" applyBorder="1" applyAlignment="1">
      <x:alignment vertical="center"/>
    </x:xf>
    <x:xf numFmtId="8" fontId="29" fillId="0" borderId="0" xfId="0" applyNumberFormat="1" applyFont="1" applyFill="1" applyBorder="1" applyAlignment="1">
      <x:alignment horizontal="right" vertical="center"/>
    </x:xf>
    <x:xf numFmtId="0" fontId="30" fillId="10" borderId="0" xfId="0" applyNumberFormat="1" applyFont="1" applyFill="1" applyBorder="1" applyAlignment="1">
      <x:alignment horizontal="right" vertical="center"/>
    </x:xf>
    <x:xf numFmtId="171" fontId="29" fillId="0" borderId="0" xfId="0" applyNumberFormat="1" applyFont="1" applyFill="1" applyBorder="1" applyAlignment="1">
      <x:alignment horizontal="right" vertical="center"/>
    </x:xf>
    <x:xf numFmtId="9" fontId="29" fillId="0" borderId="0" xfId="0" applyNumberFormat="1" applyFont="1" applyFill="1" applyBorder="1" applyAlignment="1">
      <x:alignment horizontal="right" vertical="center"/>
    </x:xf>
    <x:xf numFmtId="0" fontId="17" fillId="9" borderId="0" xfId="0" applyNumberFormat="1" applyFont="1" applyFill="1" applyBorder="1" applyAlignment="1">
      <x:alignment vertical="center"/>
    </x:xf>
    <x:xf numFmtId="0" fontId="16" fillId="0" borderId="12" xfId="0" applyNumberFormat="1" applyFont="1" applyFill="1" applyBorder="1"/>
    <x:xf numFmtId="0" fontId="16" fillId="0" borderId="15" xfId="0" applyNumberFormat="1" applyFont="1" applyFill="1" applyBorder="1"/>
    <x:xf numFmtId="0" fontId="16" fillId="0" borderId="9" xfId="0" applyNumberFormat="1" applyFont="1" applyFill="1" applyBorder="1"/>
    <x:xf numFmtId="0" fontId="16" fillId="0" borderId="12" xfId="0" applyNumberFormat="1" applyFont="1" applyFill="1" applyBorder="1" applyAlignment="1">
      <x:alignment vertical="center"/>
    </x:xf>
    <x:xf numFmtId="0" fontId="16" fillId="0" borderId="15" xfId="0" applyNumberFormat="1" applyFont="1" applyFill="1" applyBorder="1" applyAlignment="1">
      <x:alignment vertical="center"/>
    </x:xf>
    <x:xf numFmtId="0" fontId="16" fillId="0" borderId="9" xfId="0" applyNumberFormat="1" applyFont="1" applyFill="1" applyBorder="1" applyAlignment="1">
      <x:alignment vertical="center"/>
    </x:xf>
    <x:xf numFmtId="0" fontId="25" fillId="0" borderId="12" xfId="0" applyNumberFormat="1" applyFont="1" applyFill="1" applyBorder="1" applyAlignment="1">
      <x:alignment vertical="center"/>
    </x:xf>
    <x:xf numFmtId="0" fontId="25" fillId="0" borderId="15" xfId="0" applyNumberFormat="1" applyFont="1" applyFill="1" applyBorder="1" applyAlignment="1">
      <x:alignment vertical="center"/>
    </x:xf>
    <x:xf numFmtId="0" fontId="25" fillId="0" borderId="9" xfId="0" applyNumberFormat="1" applyFont="1" applyFill="1" applyBorder="1" applyAlignment="1">
      <x:alignment vertical="center"/>
    </x:xf>
    <x:xf numFmtId="0" fontId="25" fillId="0" borderId="12" xfId="0" applyNumberFormat="1" applyFont="1" applyFill="1" applyBorder="1" applyAlignment="1">
      <x:alignment horizontal="center" vertical="center"/>
    </x:xf>
    <x:xf numFmtId="0" fontId="25" fillId="0" borderId="15" xfId="0" applyNumberFormat="1" applyFont="1" applyFill="1" applyBorder="1" applyAlignment="1">
      <x:alignment horizontal="center" vertical="center"/>
    </x:xf>
    <x:xf numFmtId="0" fontId="25" fillId="0" borderId="9" xfId="0" applyNumberFormat="1" applyFont="1" applyFill="1" applyBorder="1" applyAlignment="1">
      <x:alignment horizontal="center" vertical="center"/>
    </x:xf>
    <x:xf numFmtId="0" fontId="32" fillId="0" borderId="12" xfId="0" applyNumberFormat="1" applyFont="1" applyFill="1" applyBorder="1" applyAlignment="1">
      <x:alignment vertical="center"/>
    </x:xf>
    <x:xf numFmtId="0" fontId="32" fillId="0" borderId="15" xfId="0" applyNumberFormat="1" applyFont="1" applyFill="1" applyBorder="1" applyAlignment="1">
      <x:alignment vertical="center"/>
    </x:xf>
    <x:xf numFmtId="0" fontId="32" fillId="0" borderId="9" xfId="0" applyNumberFormat="1" applyFont="1" applyFill="1" applyBorder="1" applyAlignment="1">
      <x:alignment vertical="center"/>
    </x:xf>
    <x:xf numFmtId="0" fontId="32" fillId="0" borderId="12" xfId="0" applyNumberFormat="1" applyFont="1" applyFill="1" applyBorder="1" applyAlignment="1">
      <x:alignment horizontal="right" vertical="center"/>
    </x:xf>
    <x:xf numFmtId="0" fontId="32" fillId="0" borderId="15" xfId="0" applyNumberFormat="1" applyFont="1" applyFill="1" applyBorder="1" applyAlignment="1">
      <x:alignment horizontal="right" vertical="center"/>
    </x:xf>
    <x:xf numFmtId="0" fontId="32" fillId="0" borderId="9" xfId="0" applyNumberFormat="1" applyFont="1" applyFill="1" applyBorder="1" applyAlignment="1">
      <x:alignment horizontal="right" vertical="center"/>
    </x:xf>
    <x:xf numFmtId="201" fontId="32" fillId="0" borderId="12" xfId="0" applyNumberFormat="1" applyFont="1" applyFill="1" applyBorder="1" applyAlignment="1">
      <x:alignment horizontal="right" vertical="center"/>
    </x:xf>
    <x:xf numFmtId="201" fontId="32" fillId="0" borderId="15" xfId="0" applyNumberFormat="1" applyFont="1" applyFill="1" applyBorder="1" applyAlignment="1">
      <x:alignment horizontal="right" vertical="center"/>
    </x:xf>
    <x:xf numFmtId="200" fontId="32" fillId="0" borderId="15" xfId="0" applyNumberFormat="1" applyFont="1" applyFill="1" applyBorder="1" applyAlignment="1">
      <x:alignment horizontal="right" vertical="center"/>
    </x:xf>
    <x:xf numFmtId="203" fontId="32" fillId="0" borderId="15" xfId="0" applyNumberFormat="1" applyFont="1" applyFill="1" applyBorder="1" applyAlignment="1">
      <x:alignment horizontal="right" vertical="center"/>
    </x:xf>
    <x:xf numFmtId="204" fontId="32" fillId="0" borderId="15" xfId="0" applyNumberFormat="1" applyFont="1" applyFill="1" applyBorder="1" applyAlignment="1">
      <x:alignment horizontal="right" vertical="center"/>
    </x:xf>
    <x:xf numFmtId="204" fontId="16" fillId="0" borderId="15" xfId="0" applyNumberFormat="1" applyFont="1" applyFill="1" applyBorder="1" applyAlignment="1">
      <x:alignment vertical="center"/>
    </x:xf>
    <x:xf numFmtId="200" fontId="16" fillId="0" borderId="15" xfId="0" applyNumberFormat="1" applyFont="1" applyFill="1" applyBorder="1" applyAlignment="1">
      <x:alignment vertical="center"/>
    </x:xf>
    <x:xf numFmtId="201" fontId="32" fillId="0" borderId="9" xfId="0" applyNumberFormat="1" applyFont="1" applyFill="1" applyBorder="1" applyAlignment="1">
      <x:alignment horizontal="right" vertical="center"/>
    </x:xf>
    <x:xf numFmtId="201" fontId="16" fillId="0" borderId="9" xfId="0" applyNumberFormat="1" applyFont="1" applyFill="1" applyBorder="1" applyAlignment="1">
      <x:alignment vertical="center"/>
    </x:xf>
    <x:xf numFmtId="201" fontId="0" fillId="0" borderId="0" xfId="0" applyNumberFormat="1" applyFont="1" applyFill="1" applyBorder="1"/>
    <x:xf numFmtId="205" fontId="0" fillId="0" borderId="0" xfId="0" applyNumberFormat="1" applyFont="1" applyFill="1" applyBorder="1"/>
    <x:xf numFmtId="0" fontId="28" fillId="2" borderId="0" xfId="0" applyNumberFormat="1" applyFont="1" applyFill="1" applyBorder="1" applyAlignment="1">
      <x:alignment horizontal="center" vertical="center" wrapText="1"/>
    </x:xf>
    <x:xf numFmtId="14" fontId="28" fillId="2" borderId="0" xfId="0" applyNumberFormat="1" applyFont="1" applyFill="1" applyBorder="1" applyAlignment="1">
      <x:alignment horizontal="center" vertical="center" wrapText="1"/>
    </x:xf>
    <x:xf numFmtId="0" fontId="29" fillId="0" borderId="0" xfId="0" applyNumberFormat="1" applyFont="1" applyFill="1" applyBorder="1" applyAlignment="1">
      <x:alignment vertical="center" wrapText="1"/>
    </x:xf>
    <x:xf numFmtId="14" fontId="29" fillId="0" borderId="0" xfId="0" applyNumberFormat="1" applyFont="1" applyFill="1" applyBorder="1" applyAlignment="1">
      <x:alignment vertical="center" wrapText="1"/>
    </x:xf>
    <x:xf numFmtId="173" fontId="29" fillId="0" borderId="0" xfId="0" applyNumberFormat="1" applyFont="1" applyFill="1" applyBorder="1" applyAlignment="1">
      <x:alignment vertical="center" wrapText="1"/>
    </x:xf>
    <x:xf numFmtId="0" fontId="29" fillId="0" borderId="0" xfId="0" applyNumberFormat="1" applyFont="1" applyFill="1" applyBorder="1" applyAlignment="1">
      <x:alignment wrapText="1"/>
    </x:xf>
    <x:xf numFmtId="14" fontId="29" fillId="0" borderId="0" xfId="0" applyNumberFormat="1" applyFont="1" applyFill="1" applyBorder="1" applyAlignment="1">
      <x:alignment wrapText="1"/>
    </x:xf>
    <x:xf numFmtId="173" fontId="29" fillId="0" borderId="0" xfId="0" applyNumberFormat="1" applyFont="1" applyFill="1" applyBorder="1" applyAlignment="1">
      <x:alignment wrapText="1"/>
    </x:xf>
    <x:xf numFmtId="201" fontId="29" fillId="0" borderId="0" xfId="0" applyNumberFormat="1" applyFont="1" applyFill="1" applyBorder="1"/>
    <x:xf numFmtId="205" fontId="29" fillId="0" borderId="0" xfId="0" applyNumberFormat="1" applyFont="1" applyFill="1" applyBorder="1"/>
    <x:xf numFmtId="0" fontId="28" fillId="9" borderId="0" xfId="0" applyNumberFormat="1" applyFont="1" applyFill="1" applyBorder="1" applyAlignment="1">
      <x:alignment horizontal="center" vertical="center" wrapText="1"/>
    </x:xf>
    <x:xf numFmtId="14" fontId="28" fillId="9" borderId="0" xfId="0" applyNumberFormat="1" applyFont="1" applyFill="1" applyBorder="1" applyAlignment="1">
      <x:alignment horizontal="center" vertical="center" wrapText="1"/>
    </x:xf>
    <x:xf numFmtId="0" fontId="30" fillId="9" borderId="0" xfId="0" applyNumberFormat="1" applyFont="1" applyFill="1" applyBorder="1" applyAlignment="1">
      <x:alignment horizontal="center" vertical="center" wrapText="1"/>
    </x:xf>
    <x:xf numFmtId="14" fontId="30" fillId="9" borderId="0" xfId="0" applyNumberFormat="1" applyFont="1" applyFill="1" applyBorder="1" applyAlignment="1">
      <x:alignment horizontal="center" vertical="center" wrapText="1"/>
    </x:xf>
    <x:xf numFmtId="0" fontId="29" fillId="0" borderId="12" xfId="0" applyNumberFormat="1" applyFont="1" applyFill="1" applyBorder="1" applyAlignment="1">
      <x:alignment vertical="center" wrapText="1"/>
    </x:xf>
    <x:xf numFmtId="14" fontId="29" fillId="0" borderId="12" xfId="0" applyNumberFormat="1" applyFont="1" applyFill="1" applyBorder="1" applyAlignment="1">
      <x:alignment vertical="center" wrapText="1"/>
    </x:xf>
    <x:xf numFmtId="173" fontId="29" fillId="0" borderId="12" xfId="0" applyNumberFormat="1" applyFont="1" applyFill="1" applyBorder="1" applyAlignment="1">
      <x:alignment vertical="center" wrapText="1"/>
    </x:xf>
    <x:xf numFmtId="0" fontId="29" fillId="0" borderId="15" xfId="0" applyNumberFormat="1" applyFont="1" applyFill="1" applyBorder="1" applyAlignment="1">
      <x:alignment vertical="center" wrapText="1"/>
    </x:xf>
    <x:xf numFmtId="14" fontId="29" fillId="0" borderId="15" xfId="0" applyNumberFormat="1" applyFont="1" applyFill="1" applyBorder="1" applyAlignment="1">
      <x:alignment vertical="center" wrapText="1"/>
    </x:xf>
    <x:xf numFmtId="173" fontId="29" fillId="0" borderId="15" xfId="0" applyNumberFormat="1" applyFont="1" applyFill="1" applyBorder="1" applyAlignment="1">
      <x:alignment vertical="center" wrapText="1"/>
    </x:xf>
    <x:xf numFmtId="0" fontId="29" fillId="0" borderId="15" xfId="0" applyNumberFormat="1" applyFont="1" applyFill="1" applyBorder="1" applyAlignment="1">
      <x:alignment wrapText="1"/>
    </x:xf>
    <x:xf numFmtId="14" fontId="29" fillId="0" borderId="15" xfId="0" applyNumberFormat="1" applyFont="1" applyFill="1" applyBorder="1" applyAlignment="1">
      <x:alignment wrapText="1"/>
    </x:xf>
    <x:xf numFmtId="173" fontId="29" fillId="0" borderId="15" xfId="0" applyNumberFormat="1" applyFont="1" applyFill="1" applyBorder="1" applyAlignment="1">
      <x:alignment wrapText="1"/>
    </x:xf>
    <x:xf numFmtId="0" fontId="29" fillId="0" borderId="9" xfId="0" applyNumberFormat="1" applyFont="1" applyFill="1" applyBorder="1"/>
    <x:xf numFmtId="201" fontId="29" fillId="0" borderId="9" xfId="0" applyNumberFormat="1" applyFont="1" applyFill="1" applyBorder="1"/>
    <x:xf numFmtId="205" fontId="29" fillId="0" borderId="9" xfId="0" applyNumberFormat="1" applyFont="1" applyFill="1" applyBorder="1"/>
    <x:xf numFmtId="0" fontId="29" fillId="0" borderId="9" xfId="0" applyNumberFormat="1" applyFont="1" applyFill="1" applyBorder="1" applyAlignment="1">
      <x:alignment wrapText="1"/>
    </x:xf>
    <x:xf numFmtId="201" fontId="29" fillId="0" borderId="9" xfId="0" applyNumberFormat="1" applyFont="1" applyFill="1" applyBorder="1" applyAlignment="1">
      <x:alignment wrapText="1"/>
    </x:xf>
    <x:xf numFmtId="205" fontId="29" fillId="0" borderId="9" xfId="0" applyNumberFormat="1" applyFont="1" applyFill="1" applyBorder="1" applyAlignment="1">
      <x:alignment wrapText="1"/>
    </x:xf>
    <x:xf numFmtId="0" fontId="29" fillId="0" borderId="9" xfId="0" applyNumberFormat="1" applyFont="1" applyFill="1" applyBorder="1" applyAlignment="1">
      <x:alignment vertical="center" wrapText="1"/>
    </x:xf>
    <x:xf numFmtId="201" fontId="29" fillId="0" borderId="9" xfId="0" applyNumberFormat="1" applyFont="1" applyFill="1" applyBorder="1" applyAlignment="1">
      <x:alignment vertical="center" wrapText="1"/>
    </x:xf>
    <x:xf numFmtId="205" fontId="29" fillId="0" borderId="9" xfId="0" applyNumberFormat="1" applyFont="1" applyFill="1" applyBorder="1" applyAlignment="1">
      <x:alignment vertical="center" wrapText="1"/>
    </x:xf>
  </x:cellXfs>
  <x:cellStyles count="2">
    <x:cellStyle name="Comma" xfId="1"/>
    <x:cellStyle name="Normal" xfId="0"/>
  </x:cellStyles>
  <x:dxfs count="5">
    <x:dxf>
      <x:font>
        <x:b/>
        <x:color rgb="FF17643A"/>
      </x:font>
      <x:fill>
        <x:patternFill patternType="solid">
          <x:bgColor rgb="FFDDF2E6"/>
        </x:patternFill>
      </x:fill>
    </x:dxf>
    <x:dxf>
      <x:font>
        <x:b/>
        <x:color rgb="FF8A5A00"/>
      </x:font>
      <x:fill>
        <x:patternFill patternType="solid">
          <x:bgColor rgb="FFFFF1C2"/>
        </x:patternFill>
      </x:fill>
    </x:dxf>
    <x:dxf>
      <x:font>
        <x:b/>
        <x:color rgb="FF17643A"/>
      </x:font>
      <x:fill>
        <x:patternFill patternType="solid">
          <x:bgColor rgb="FFDDF2E6"/>
        </x:patternFill>
      </x:fill>
    </x:dxf>
    <x:dxf>
      <x:font>
        <x:b/>
        <x:color rgb="FFA61B1B"/>
      </x:font>
      <x:fill>
        <x:patternFill patternType="solid">
          <x:bgColor rgb="FFFDE2E1"/>
        </x:patternFill>
      </x:fill>
    </x:dxf>
    <x:dxf>
      <x:font>
        <x:b/>
        <x:color rgb="FF8A5A00"/>
      </x:font>
      <x:fill>
        <x:patternFill patternType="solid">
          <x:bgColor rgb="FFFFF1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249e31ac7349d3" /><Relationship Type="http://schemas.openxmlformats.org/officeDocument/2006/relationships/theme" Target="/xl/theme/theme1.xml" Id="Ref7d04989a284720" /><Relationship Type="http://schemas.openxmlformats.org/officeDocument/2006/relationships/sheetMetadata" Target="/xl/metadata1.xml" Id="R94cba29158924d80" /><Relationship Type="http://schemas.openxmlformats.org/officeDocument/2006/relationships/sharedStrings" Target="/xl/sharedStrings.xml" Id="R88c0ad3a86b64556" /><Relationship Type="http://schemas.openxmlformats.org/officeDocument/2006/relationships/worksheet" Target="/xl/worksheets/sheet1.xml" Id="Rb8ced54668ad4b95" /><Relationship Type="http://schemas.openxmlformats.org/officeDocument/2006/relationships/worksheet" Target="/xl/worksheets/sheet2.xml" Id="Rc1a50b2ab00f496d" /><Relationship Type="http://schemas.openxmlformats.org/officeDocument/2006/relationships/worksheet" Target="/xl/worksheets/sheet3.xml" Id="Rbdec5f0feeb84ef4" /><Relationship Type="http://schemas.openxmlformats.org/officeDocument/2006/relationships/worksheet" Target="/xl/worksheets/sheet4.xml" Id="Rc0f8a234a8a04a4d" /><Relationship Type="http://schemas.openxmlformats.org/officeDocument/2006/relationships/worksheet" Target="/xl/worksheets/sheet5.xml" Id="R2e4e1c37b25e4049" /><Relationship Type="http://schemas.openxmlformats.org/officeDocument/2006/relationships/worksheet" Target="/xl/worksheets/sheet6.xml" Id="R35be1934a36e4f6b" /><Relationship Type="http://schemas.openxmlformats.org/officeDocument/2006/relationships/worksheet" Target="/xl/worksheets/sheet7.xml" Id="Rb990454f987c4128" /><Relationship Type="http://schemas.microsoft.com/office/2017/10/relationships/person" Target="/xl/persons/person.xml" Id="R73435daa2a6647e9" /></Relationships>
</file>

<file path=xl/persons/person.xml><?xml version="1.0" encoding="utf-8"?>
<xltc:personList xmlns:xltc="http://schemas.microsoft.com/office/spreadsheetml/2018/threadedcomments">
  <xltc:person displayName="User" id="{5E328273-4687-49FE-9238-3FF117F72770}"/>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59" dT="2026-08-24T05:45:06.041" personId="{5E328273-4687-49FE-9238-3FF117F72770}" id="{08433A5B-5D90-2199-108C-3552D99FAA05}">
    <xltc:text>WACC applies the disclosed acquisition debt and equity proportions as a capital-structure proxy. Formula: E/V × Cost of Equity + D/V × Pre-tax Cost of Debt × (1 − tax rate). Replace the weights with a target capital structure if better information becomes available.</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538b0742c66147a7" /><Relationship Type="http://schemas.openxmlformats.org/officeDocument/2006/relationships/vmlDrawing" Target="/xl/drawings/vmldrawing.vml" Id="R7eb6859e6de84e7d" /><Relationship Type="http://schemas.microsoft.com/office/2017/10/relationships/threadedComment" Target="/xl/threadedcomments/threadedcomment.xml" Id="Rdad171ad7ff945fc" /></Relationships>
</file>

<file path=xl/worksheets/_rels/sheet4.xml.rels>&#65279;<?xml version="1.0" encoding="utf-8"?><Relationships xmlns="http://schemas.openxmlformats.org/package/2006/relationships"><Relationship Type="http://schemas.openxmlformats.org/officeDocument/2006/relationships/comments" Target="/xl/comments2.xml" Id="Rbec760d7d6104a38" /><Relationship Type="http://schemas.openxmlformats.org/officeDocument/2006/relationships/vmlDrawing" Target="/xl/drawings/vmldrawing2.vml" Id="R45db89048f8a4061" /></Relationships>
</file>

<file path=xl/worksheets/_rels/sheet5.xml.rels>&#65279;<?xml version="1.0" encoding="utf-8"?><Relationships xmlns="http://schemas.openxmlformats.org/package/2006/relationships"><Relationship Type="http://schemas.openxmlformats.org/officeDocument/2006/relationships/comments" Target="/xl/comments3.xml" Id="R9c01676cab9d47aa" /><Relationship Type="http://schemas.openxmlformats.org/officeDocument/2006/relationships/vmlDrawing" Target="/xl/drawings/vmldrawing3.vml" Id="Rdfae346ca579485a" /></Relationships>
</file>

<file path=xl/worksheets/sheet1.xml><?xml version="1.0" encoding="utf-8"?>
<x:worksheet xmlns:x="http://schemas.openxmlformats.org/spreadsheetml/2006/main">
  <x:sheetViews>
    <x:sheetView showGridLines="0" workbookViewId="0"/>
  </x:sheetViews>
  <x:sheetFormatPr defaultRowHeight="14.25"/>
  <x:cols>
    <x:col min="1" max="1" width="19" hidden="0" customWidth="1"/>
    <x:col min="2" max="2" width="16" hidden="0" customWidth="1"/>
    <x:col min="4" max="4" width="16" hidden="0" customWidth="1"/>
    <x:col min="5" max="5" width="20" hidden="0" customWidth="1"/>
    <x:col min="3" max="3" width="18" hidden="0" customWidth="1"/>
    <x:col min="6" max="6" width="17" hidden="0" customWidth="1"/>
    <x:col min="7" max="7" width="22" hidden="0" customWidth="1"/>
    <x:col min="8" max="8" width="18" hidden="0" customWidth="1"/>
  </x:cols>
  <x:sheetData>
    <x:row r="1" ht="34" customHeight="1">
      <x:c r="A1" s="112" t="str">
        <x:v>Darlington Point Solar Farm | Investment Summary</x:v>
      </x:c>
      <x:c r="B1" s="112"/>
      <x:c r="C1" s="112"/>
      <x:c r="D1" s="112"/>
      <x:c r="E1" s="112"/>
      <x:c r="F1" s="112"/>
      <x:c r="G1" s="112"/>
      <x:c r="H1" s="112"/>
    </x:row>
    <x:row r="2" ht="22" customHeight="1">
      <x:c r="A2" s="114" t="str">
        <x:v>Illustrative equity investment appraisal | July 2022 public-information case | AUD</x:v>
      </x:c>
      <x:c r="B2" s="114"/>
      <x:c r="C2" s="114"/>
      <x:c r="D2" s="114"/>
      <x:c r="E2" s="114"/>
      <x:c r="F2" s="114"/>
      <x:c r="G2" s="114"/>
      <x:c r="H2" s="114"/>
    </x:row>
    <x:row r="3">
      <x:c r="A3" s="77"/>
      <x:c r="B3" s="77"/>
      <x:c r="C3" s="77"/>
      <x:c r="D3" s="77"/>
      <x:c r="E3" s="77"/>
      <x:c r="F3" s="77"/>
      <x:c r="G3" s="77"/>
      <x:c r="H3" s="77"/>
    </x:row>
    <x:row r="4" ht="22" customHeight="1">
      <x:c r="A4" s="117" t="str">
        <x:v>INVESTMENT OVERVIEW</x:v>
      </x:c>
      <x:c r="B4" s="117"/>
      <x:c r="C4" s="117"/>
      <x:c r="D4" s="117"/>
      <x:c r="E4" s="117"/>
      <x:c r="F4" s="117"/>
      <x:c r="G4" s="117"/>
      <x:c r="H4" s="117"/>
    </x:row>
    <x:row r="5" ht="22" customHeight="1">
      <x:c r="A5" s="130" t="str">
        <x:v>This model assesses an illustrative approximately 10% remaining interest in the operational Darlington Point Solar Farm. Publicly disclosed acquisition and operating information is proportionally scaled to the assumed interest and used to evaluate cash flows, leverage, valuation and discrete downside, base and upside outcomes.</x:v>
      </x:c>
      <x:c r="B5" s="131"/>
      <x:c r="C5" s="131"/>
      <x:c r="D5" s="131"/>
      <x:c r="E5" s="131"/>
      <x:c r="F5" s="131"/>
      <x:c r="G5" s="131"/>
      <x:c r="H5" s="132"/>
    </x:row>
    <x:row r="6" ht="22" customHeight="1">
      <x:c r="A6" s="133"/>
      <x:c r="B6" s="134"/>
      <x:c r="C6" s="134"/>
      <x:c r="D6" s="134"/>
      <x:c r="E6" s="134"/>
      <x:c r="F6" s="134"/>
      <x:c r="G6" s="134"/>
      <x:c r="H6" s="135"/>
    </x:row>
    <x:row r="7">
      <x:c r="A7" s="77"/>
      <x:c r="B7" s="77"/>
      <x:c r="C7" s="77"/>
      <x:c r="D7" s="77"/>
      <x:c r="E7" s="77"/>
      <x:c r="F7" s="77"/>
      <x:c r="G7" s="77"/>
      <x:c r="H7" s="77"/>
    </x:row>
    <x:row r="8" ht="22" customHeight="1">
      <x:c r="A8" s="117" t="str">
        <x:v>OBJECTIVE</x:v>
      </x:c>
      <x:c r="B8" s="117"/>
      <x:c r="C8" s="117"/>
      <x:c r="D8" s="117"/>
      <x:c r="E8" s="117"/>
      <x:c r="F8" s="117"/>
      <x:c r="G8" s="117"/>
      <x:c r="H8" s="117"/>
    </x:row>
    <x:row r="9" ht="24" customHeight="1">
      <x:c r="A9" s="150" t="str">
        <x:v>Assess the prospective risk-adjusted return and valuation of an equity investment using publicly available information.</x:v>
      </x:c>
      <x:c r="B9" s="151"/>
      <x:c r="C9" s="151"/>
      <x:c r="D9" s="151"/>
      <x:c r="E9" s="151"/>
      <x:c r="F9" s="151"/>
      <x:c r="G9" s="151"/>
      <x:c r="H9" s="152"/>
    </x:row>
    <x:row r="10" ht="24" customHeight="1">
      <x:c r="A10" s="153"/>
      <x:c r="B10" s="154"/>
      <x:c r="C10" s="154"/>
      <x:c r="D10" s="154"/>
      <x:c r="E10" s="154"/>
      <x:c r="F10" s="154"/>
      <x:c r="G10" s="154"/>
      <x:c r="H10" s="155"/>
    </x:row>
    <x:row r="11">
      <x:c r="A11" s="77"/>
      <x:c r="B11" s="77"/>
      <x:c r="C11" s="77"/>
      <x:c r="D11" s="77"/>
      <x:c r="E11" s="77"/>
      <x:c r="F11" s="77"/>
      <x:c r="G11" s="77"/>
      <x:c r="H11" s="77"/>
    </x:row>
    <x:row r="12" ht="22" customHeight="1">
      <x:c r="A12" s="117" t="str">
        <x:v>KEY INVESTMENT OUTPUTS</x:v>
      </x:c>
      <x:c r="B12" s="117"/>
      <x:c r="C12" s="117"/>
      <x:c r="D12" s="117"/>
      <x:c r="E12" s="117"/>
      <x:c r="F12" s="117"/>
      <x:c r="G12" s="117"/>
      <x:c r="H12" s="117"/>
    </x:row>
    <x:row r="13" ht="22" customHeight="1">
      <x:c r="A13" s="84" t="str">
        <x:v>Opening Equity Investment</x:v>
      </x:c>
      <x:c r="B13" s="85"/>
      <x:c r="C13" s="84" t="str">
        <x:v>Net IRR</x:v>
      </x:c>
      <x:c r="D13" s="85"/>
      <x:c r="E13" s="84" t="str">
        <x:v>Net MOIC</x:v>
      </x:c>
      <x:c r="F13" s="85"/>
      <x:c r="G13" s="84" t="str">
        <x:v>Implied Equity Value</x:v>
      </x:c>
      <x:c r="H13" s="85"/>
    </x:row>
    <x:row r="14" ht="34" customHeight="1">
      <x:c r="A14" s="94" t="n">
        <x:f>'Valuation'!C19</x:f>
        <x:v>23490000</x:v>
      </x:c>
      <x:c r="B14" s="95"/>
      <x:c r="C14" s="100" t="n">
        <x:f>'Valuation'!C10</x:f>
        <x:v>0.09718346709082003</x:v>
      </x:c>
      <x:c r="D14" s="101"/>
      <x:c r="E14" s="106" t="n">
        <x:f>'Valuation'!C18</x:f>
        <x:v>3.1365465650493283</x:v>
      </x:c>
      <x:c r="F14" s="107"/>
      <x:c r="G14" s="94" t="n">
        <x:f>'Valuation'!C16</x:f>
        <x:v>34977416.56232562</x:v>
      </x:c>
      <x:c r="H14" s="95"/>
    </x:row>
    <x:row r="15">
      <x:c r="A15" s="77"/>
      <x:c r="B15" s="77"/>
      <x:c r="C15" s="77"/>
      <x:c r="D15" s="77"/>
      <x:c r="E15" s="77"/>
      <x:c r="F15" s="77"/>
      <x:c r="G15" s="77"/>
      <x:c r="H15" s="77"/>
    </x:row>
    <x:row r="16" ht="22" customHeight="1">
      <x:c r="A16" s="84" t="str">
        <x:v>Net Equity NPV</x:v>
      </x:c>
      <x:c r="B16" s="85"/>
      <x:c r="C16" s="84" t="str">
        <x:v>Expected Return</x:v>
      </x:c>
      <x:c r="D16" s="85"/>
      <x:c r="E16" s="84" t="str">
        <x:v>Gross IRR</x:v>
      </x:c>
      <x:c r="F16" s="85"/>
      <x:c r="G16" s="84" t="str">
        <x:v>Enterprise DCF Value @ WACC</x:v>
      </x:c>
      <x:c r="H16" s="85"/>
    </x:row>
    <x:row r="17" ht="34" customHeight="1">
      <x:c r="A17" s="94" t="n">
        <x:f>'Valuation'!C11</x:f>
        <x:v>4312938.389235724</x:v>
      </x:c>
      <x:c r="B17" s="95"/>
      <x:c r="C17" s="100" t="n">
        <x:f>'Scenarios_Risk'!B14</x:f>
        <x:v>0.1047995498308343</x:v>
      </x:c>
      <x:c r="D17" s="101"/>
      <x:c r="E17" s="100" t="n">
        <x:f>'Valuation'!C9</x:f>
        <x:v>0.11027293012740177</x:v>
      </x:c>
      <x:c r="F17" s="101"/>
      <x:c r="G17" s="94" t="n">
        <x:f>'Valuation'!C12</x:f>
        <x:v>71152101.83795656</x:v>
      </x:c>
      <x:c r="H17" s="95"/>
    </x:row>
    <x:row r="18">
      <x:c r="A18" s="77"/>
      <x:c r="B18" s="77"/>
      <x:c r="C18" s="77"/>
      <x:c r="D18" s="77"/>
      <x:c r="E18" s="77"/>
      <x:c r="F18" s="77"/>
      <x:c r="G18" s="77"/>
      <x:c r="H18" s="77"/>
    </x:row>
    <x:row r="19" ht="22" customHeight="1">
      <x:c r="A19" s="117" t="str">
        <x:v>RISK AND SCENARIO VIEW</x:v>
      </x:c>
      <x:c r="B19" s="117"/>
      <x:c r="C19" s="117"/>
      <x:c r="D19" s="117"/>
      <x:c r="E19" s="117"/>
      <x:c r="F19" s="117"/>
      <x:c r="G19" s="117"/>
      <x:c r="H19" s="117"/>
    </x:row>
    <x:row r="20" ht="22" customHeight="1">
      <x:c r="A20" s="158" t="str">
        <x:v>Scenario</x:v>
      </x:c>
      <x:c r="B20" s="158" t="str">
        <x:v>Gross IRR</x:v>
      </x:c>
      <x:c r="C20" s="158" t="str">
        <x:v>Equity NPV</x:v>
      </x:c>
      <x:c r="D20" s="77"/>
      <x:c r="E20" s="158" t="str">
        <x:v>Risk Metric</x:v>
      </x:c>
      <x:c r="F20" s="158"/>
      <x:c r="G20" s="158"/>
      <x:c r="H20" s="158" t="str">
        <x:v>Value</x:v>
      </x:c>
    </x:row>
    <x:row r="21" ht="24" customHeight="1">
      <x:c r="A21" s="162" t="str">
        <x:v>Downside</x:v>
      </x:c>
      <x:c r="B21" s="165" t="n">
        <x:f>'Scenarios_Risk'!B9</x:f>
        <x:v>0.06361806618748357</x:v>
      </x:c>
      <x:c r="C21" s="166" t="n">
        <x:f>'Scenarios_Risk'!B10</x:f>
        <x:v>-3437356.3196675032</x:v>
      </x:c>
      <x:c r="D21" s="77"/>
      <x:c r="E21" s="162" t="str">
        <x:v>Probability of Negative NPV</x:v>
      </x:c>
      <x:c r="F21" s="162"/>
      <x:c r="G21" s="162"/>
      <x:c r="H21" s="173" t="n">
        <x:f>'Scenarios_Risk'!B17</x:f>
        <x:v>0.25</x:v>
      </x:c>
    </x:row>
    <x:row r="22" ht="24" customHeight="1">
      <x:c r="A22" s="162" t="str">
        <x:v>Base</x:v>
      </x:c>
      <x:c r="B22" s="165" t="n">
        <x:f>'Scenarios_Risk'!C9</x:f>
        <x:v>0.11027293012740177</x:v>
      </x:c>
      <x:c r="C22" s="166" t="n">
        <x:f>'Scenarios_Risk'!C10</x:f>
        <x:v>8022572.203016475</x:v>
      </x:c>
      <x:c r="D22" s="77"/>
      <x:c r="E22" s="162" t="str">
        <x:v>Scenario VaR (95% proxy)</x:v>
      </x:c>
      <x:c r="F22" s="162"/>
      <x:c r="G22" s="162"/>
      <x:c r="H22" s="174" t="n">
        <x:f>'Scenarios_Risk'!B18</x:f>
        <x:v>3437356.3196675032</x:v>
      </x:c>
    </x:row>
    <x:row r="23" ht="24" customHeight="1">
      <x:c r="A23" s="162" t="str">
        <x:v>Upside</x:v>
      </x:c>
      <x:c r="B23" s="165" t="n">
        <x:f>'Scenarios_Risk'!D9</x:f>
        <x:v>0.14122460856946212</x:v>
      </x:c>
      <x:c r="C23" s="166" t="n">
        <x:f>'Scenarios_Risk'!D10</x:f>
        <x:v>19051417.63311518</x:v>
      </x:c>
      <x:c r="D23" s="77"/>
      <x:c r="E23" s="162" t="str">
        <x:v>Model Status</x:v>
      </x:c>
      <x:c r="F23" s="162"/>
      <x:c r="G23" s="162"/>
      <x:c r="H23" s="175" t="str">
        <x:f>IF(COUNTIF('Checks'!B5:B18,"FAIL")=0,"PASS","REVIEW")</x:f>
        <x:v>PASS</x:v>
      </x:c>
    </x:row>
    <x:row r="24">
      <x:c r="A24" s="77"/>
      <x:c r="B24" s="77"/>
      <x:c r="C24" s="77"/>
      <x:c r="D24" s="77"/>
      <x:c r="E24" s="77"/>
      <x:c r="F24" s="77"/>
      <x:c r="G24" s="77"/>
      <x:c r="H24" s="77"/>
    </x:row>
    <x:row r="25" ht="22" customHeight="1">
      <x:c r="A25" s="117" t="str">
        <x:v>MODEL STRUCTURE AND USE</x:v>
      </x:c>
      <x:c r="B25" s="117"/>
      <x:c r="C25" s="117"/>
      <x:c r="D25" s="117"/>
      <x:c r="E25" s="117"/>
      <x:c r="F25" s="117"/>
      <x:c r="G25" s="117"/>
      <x:c r="H25" s="117"/>
    </x:row>
    <x:row r="26" ht="30" customHeight="1">
      <x:c r="A26" s="184" t="str">
        <x:v>Update blue assumptions on Inputs → review Asset_Model cash flows → assess Valuation and Scenarios_Risk → confirm Checks and Sources.</x:v>
      </x:c>
      <x:c r="B26" s="185"/>
      <x:c r="C26" s="185"/>
      <x:c r="D26" s="185"/>
      <x:c r="E26" s="185"/>
      <x:c r="F26" s="185"/>
      <x:c r="G26" s="185"/>
      <x:c r="H26" s="186"/>
    </x:row>
    <x:row r="27">
      <x:c r="A27" s="77"/>
      <x:c r="B27" s="77"/>
      <x:c r="C27" s="77"/>
      <x:c r="D27" s="77"/>
      <x:c r="E27" s="77"/>
      <x:c r="F27" s="77"/>
      <x:c r="G27" s="77"/>
      <x:c r="H27" s="77"/>
    </x:row>
    <x:row r="28" ht="22" customHeight="1">
      <x:c r="A28" s="117" t="str">
        <x:v>DISCLAIMER</x:v>
      </x:c>
      <x:c r="B28" s="117"/>
      <x:c r="C28" s="117"/>
      <x:c r="D28" s="117"/>
      <x:c r="E28" s="117"/>
      <x:c r="F28" s="117"/>
      <x:c r="G28" s="117"/>
      <x:c r="H28" s="117"/>
    </x:row>
    <x:row r="29" ht="18" customHeight="1">
      <x:c r="A29" s="206" t="str">
        <x:v>This model is an illustrative analytical exercise prepared for recruitment purposes using publicly available information, estimates and simplifying assumptions. It is not investment advice, a recommendation, an offer or a forecast of actual performance. Inputs have not been independently verified and may be incomplete or outdated; outputs are sensitive to assumptions, financing terms, tax, market conditions and remaining asset life. No reliance should be placed on the model without independent diligence and professional advice.</x:v>
      </x:c>
      <x:c r="B29" s="207"/>
      <x:c r="C29" s="207"/>
      <x:c r="D29" s="207"/>
      <x:c r="E29" s="207"/>
      <x:c r="F29" s="207"/>
      <x:c r="G29" s="207"/>
      <x:c r="H29" s="208"/>
    </x:row>
    <x:row r="30" ht="18" customHeight="1">
      <x:c r="A30" s="209"/>
      <x:c r="B30" s="210"/>
      <x:c r="C30" s="210"/>
      <x:c r="D30" s="210"/>
      <x:c r="E30" s="210"/>
      <x:c r="F30" s="210"/>
      <x:c r="G30" s="210"/>
      <x:c r="H30" s="211"/>
    </x:row>
    <x:row r="31" ht="18" customHeight="1">
      <x:c r="A31" s="209"/>
      <x:c r="B31" s="210"/>
      <x:c r="C31" s="210"/>
      <x:c r="D31" s="210"/>
      <x:c r="E31" s="210"/>
      <x:c r="F31" s="210"/>
      <x:c r="G31" s="210"/>
      <x:c r="H31" s="211"/>
    </x:row>
    <x:row r="32" ht="18" customHeight="1">
      <x:c r="A32" s="212"/>
      <x:c r="B32" s="213"/>
      <x:c r="C32" s="213"/>
      <x:c r="D32" s="213"/>
      <x:c r="E32" s="213"/>
      <x:c r="F32" s="213"/>
      <x:c r="G32" s="213"/>
      <x:c r="H32" s="214"/>
    </x:row>
  </x:sheetData>
  <x:mergeCells>
    <x:mergeCell ref="A1:H1"/>
    <x:mergeCell ref="A2:H2"/>
    <x:mergeCell ref="A4:H4"/>
    <x:mergeCell ref="A5:H6"/>
    <x:mergeCell ref="A8:H8"/>
    <x:mergeCell ref="A9:H10"/>
    <x:mergeCell ref="A12:H12"/>
    <x:mergeCell ref="A13:B13"/>
    <x:mergeCell ref="A14:B14"/>
    <x:mergeCell ref="C13:D13"/>
    <x:mergeCell ref="C14:D14"/>
    <x:mergeCell ref="E13:F13"/>
    <x:mergeCell ref="E14:F14"/>
    <x:mergeCell ref="G13:H13"/>
    <x:mergeCell ref="G14:H14"/>
    <x:mergeCell ref="A16:B16"/>
    <x:mergeCell ref="A17:B17"/>
    <x:mergeCell ref="C16:D16"/>
    <x:mergeCell ref="C17:D17"/>
    <x:mergeCell ref="E16:F16"/>
    <x:mergeCell ref="E17:F17"/>
    <x:mergeCell ref="G16:H16"/>
    <x:mergeCell ref="G17:H17"/>
    <x:mergeCell ref="A19:H19"/>
    <x:mergeCell ref="E20:G20"/>
    <x:mergeCell ref="E21:G21"/>
    <x:mergeCell ref="E22:G22"/>
    <x:mergeCell ref="E23:G23"/>
    <x:mergeCell ref="A25:H25"/>
    <x:mergeCell ref="A26:H26"/>
    <x:mergeCell ref="A28:H28"/>
    <x:mergeCell ref="A29:H32"/>
  </x:mergeCells>
  <x:conditionalFormatting sqref="H23:H23">
    <x:cfRule type="containsText" dxfId="0" priority="1" operator="containsText" text="PASS"/>
    <x:cfRule type="containsText" dxfId="1" priority="2" operator="containsText" text="REVIEW"/>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4.25"/>
  <x:cols>
    <x:col min="1" max="1" width="15" hidden="0" customWidth="1"/>
    <x:col min="2" max="2" width="40" hidden="0" customWidth="1"/>
    <x:col min="3" max="3" width="45" hidden="0" customWidth="1"/>
    <x:col min="4" max="4" width="72" hidden="0" customWidth="1"/>
    <x:col min="6" max="6" width="45.06640625" customWidth="1"/>
  </x:cols>
  <x:sheetData>
    <x:row r="1" ht="26" customHeight="1">
      <x:c r="A1" s="229" t="str">
        <x:v>Renewable Energy Investment Inputs</x:v>
      </x:c>
      <x:c r="B1" s="229"/>
      <x:c r="C1" s="229"/>
      <x:c r="D1" s="229"/>
      <x:c r="E1"/>
      <x:c r="F1"/>
      <x:c r="G1"/>
      <x:c r="H1"/>
    </x:row>
    <x:row r="2" ht="20" customHeight="1">
      <x:c r="A2" s="114" t="str">
        <x:v>July 2022 operating-asset case — approximate 10% remaining interest | Blue font denotes editable assumptions</x:v>
      </x:c>
      <x:c r="B2" s="114"/>
      <x:c r="C2" s="114"/>
      <x:c r="D2" s="114"/>
      <x:c r="E2"/>
      <x:c r="F2"/>
      <x:c r="G2"/>
      <x:c r="H2"/>
    </x:row>
    <x:row r="3">
      <x:c r="A3" s="217"/>
      <x:c r="B3" s="217"/>
      <x:c r="C3" s="217"/>
      <x:c r="D3" s="217"/>
      <x:c r="E3"/>
      <x:c r="F3"/>
      <x:c r="G3"/>
      <x:c r="H3"/>
    </x:row>
    <x:row r="4" ht="14.25" hidden="0" customHeight="1">
      <x:c r="A4" s="231" t="s">
        <x:v>0</x:v>
      </x:c>
      <x:c r="B4" s="231" t="s">
        <x:v>1</x:v>
      </x:c>
      <x:c r="C4" s="231" t="s">
        <x:v>2</x:v>
      </x:c>
      <x:c r="D4" s="264" t="s">
        <x:v>3</x:v>
      </x:c>
      <x:c r="E4"/>
      <x:c r="F4"/>
      <x:c r="G4"/>
      <x:c r="H4"/>
    </x:row>
    <x:row r="5" ht="14.25" hidden="0" customHeight="1">
      <x:c r="A5" s="234" t="s">
        <x:v>4</x:v>
      </x:c>
      <x:c r="B5" s="234"/>
      <x:c r="C5" s="234"/>
      <x:c r="D5" s="265"/>
      <x:c r="E5"/>
      <x:c r="F5"/>
      <x:c r="G5"/>
      <x:c r="H5"/>
    </x:row>
    <x:row r="6" ht="14.25" hidden="0" customHeight="1">
      <x:c r="A6" s="217" t="s">
        <x:v>5</x:v>
      </x:c>
      <x:c r="B6" s="217" t="s">
        <x:v>6</x:v>
      </x:c>
      <x:c r="C6" s="263" t="s">
        <x:v>7</x:v>
      </x:c>
      <x:c r="D6" s="266" t="s">
        <x:v>8</x:v>
      </x:c>
      <x:c r="E6"/>
      <x:c r="F6"/>
      <x:c r="G6"/>
      <x:c r="H6"/>
    </x:row>
    <x:row r="7" ht="14.25" hidden="0" customHeight="1">
      <x:c r="A7" s="217" t="s">
        <x:v>5</x:v>
      </x:c>
      <x:c r="B7" s="217" t="s">
        <x:v>9</x:v>
      </x:c>
      <x:c r="C7" s="247" t="s">
        <x:v>10</x:v>
      </x:c>
      <x:c r="D7" s="266" t="s">
        <x:v>11</x:v>
      </x:c>
      <x:c r="E7"/>
      <x:c r="F7"/>
      <x:c r="G7"/>
      <x:c r="H7"/>
    </x:row>
    <x:row r="8" ht="14.25" hidden="0" customHeight="1">
      <x:c r="A8" s="217" t="s">
        <x:v>5</x:v>
      </x:c>
      <x:c r="B8" s="217" t="s">
        <x:v>12</x:v>
      </x:c>
      <x:c r="C8" s="248">
        <x:v>43870000</x:v>
      </x:c>
      <x:c r="D8" s="266" t="s">
        <x:v>13</x:v>
      </x:c>
      <x:c r="E8"/>
      <x:c r="F8"/>
      <x:c r="G8"/>
      <x:c r="H8"/>
    </x:row>
    <x:row r="9" ht="14.25" hidden="0" customHeight="1">
      <x:c r="A9" s="217" t="s">
        <x:v>5</x:v>
      </x:c>
      <x:c r="B9" s="217" t="s">
        <x:v>14</x:v>
      </x:c>
      <x:c r="C9" s="249">
        <x:v>0</x:v>
      </x:c>
      <x:c r="D9" s="266" t="s">
        <x:v>15</x:v>
      </x:c>
      <x:c r="E9"/>
      <x:c r="F9"/>
      <x:c r="G9"/>
      <x:c r="H9"/>
    </x:row>
    <x:row r="10" ht="14.25" hidden="0" customHeight="1">
      <x:c r="A10" s="217" t="s">
        <x:v>5</x:v>
      </x:c>
      <x:c r="B10" s="217" t="s">
        <x:v>16</x:v>
      </x:c>
      <x:c r="C10" s="250">
        <x:v>20</x:v>
      </x:c>
      <x:c r="D10" s="266" t="s">
        <x:v>17</x:v>
      </x:c>
      <x:c r="E10"/>
      <x:c r="F10"/>
      <x:c r="G10"/>
      <x:c r="H10"/>
    </x:row>
    <x:row r="11" ht="14.25" hidden="0" customHeight="1">
      <x:c r="A11" s="217" t="s">
        <x:v>5</x:v>
      </x:c>
      <x:c r="B11" s="217" t="s">
        <x:v>18</x:v>
      </x:c>
      <x:c r="C11" s="251">
        <x:v>9.4999999999999998E-3</x:v>
      </x:c>
      <x:c r="D11" s="266" t="s">
        <x:v>19</x:v>
      </x:c>
      <x:c r="E11"/>
      <x:c r="F11"/>
      <x:c r="G11"/>
      <x:c r="H11"/>
    </x:row>
    <x:row r="12" ht="14.25" hidden="0" customHeight="1">
      <x:c r="A12" s="217" t="s">
        <x:v>5</x:v>
      </x:c>
      <x:c r="B12" s="217" t="s">
        <x:v>20</x:v>
      </x:c>
      <x:c r="C12" s="249">
        <x:v>0.2</x:v>
      </x:c>
      <x:c r="D12" s="266" t="s">
        <x:v>21</x:v>
      </x:c>
      <x:c r="E12"/>
      <x:c r="F12"/>
      <x:c r="G12"/>
      <x:c r="H12"/>
    </x:row>
    <x:row r="13" ht="14.25" hidden="0" customHeight="1">
      <x:c r="A13" s="217" t="s">
        <x:v>5</x:v>
      </x:c>
      <x:c r="B13" s="217" t="s">
        <x:v>22</x:v>
      </x:c>
      <x:c r="C13" s="249">
        <x:v>7.0000000000000007E-2</x:v>
      </x:c>
      <x:c r="D13" s="266" t="s">
        <x:v>23</x:v>
      </x:c>
      <x:c r="E13"/>
      <x:c r="F13"/>
      <x:c r="G13"/>
      <x:c r="H13"/>
    </x:row>
    <x:row r="14" ht="14.25" hidden="0" customHeight="1">
      <x:c r="A14" s="234" t="s">
        <x:v>24</x:v>
      </x:c>
      <x:c r="B14" s="234"/>
      <x:c r="C14" s="234"/>
      <x:c r="D14" s="265"/>
      <x:c r="E14"/>
      <x:c r="F14"/>
      <x:c r="G14"/>
      <x:c r="H14"/>
    </x:row>
    <x:row r="15" ht="14.25" hidden="0" customHeight="1">
      <x:c r="A15" s="217" t="s">
        <x:v>25</x:v>
      </x:c>
      <x:c r="B15" s="217" t="s">
        <x:v>26</x:v>
      </x:c>
      <x:c r="C15" s="248">
        <x:v>4891000</x:v>
      </x:c>
      <x:c r="D15" s="266" t="s">
        <x:v>27</x:v>
      </x:c>
      <x:c r="E15"/>
      <x:c r="F15"/>
      <x:c r="G15"/>
      <x:c r="H15"/>
    </x:row>
    <x:row r="16" ht="14.25" hidden="0" customHeight="1">
      <x:c r="A16" s="217" t="s">
        <x:v>25</x:v>
      </x:c>
      <x:c r="B16" s="217" t="s">
        <x:v>28</x:v>
      </x:c>
      <x:c r="C16" s="249">
        <x:v>1.2500000000000001E-2</x:v>
      </x:c>
      <x:c r="D16" s="266" t="s">
        <x:v>29</x:v>
      </x:c>
      <x:c r="E16"/>
      <x:c r="F16"/>
      <x:c r="G16"/>
      <x:c r="H16"/>
    </x:row>
    <x:row r="17" ht="14.25" hidden="0" customHeight="1">
      <x:c r="A17" s="217" t="s">
        <x:v>25</x:v>
      </x:c>
      <x:c r="B17" s="217" t="s">
        <x:v>30</x:v>
      </x:c>
      <x:c r="C17" s="249">
        <x:v>0.77500000000000002</x:v>
      </x:c>
      <x:c r="D17" s="266" t="s">
        <x:v>31</x:v>
      </x:c>
      <x:c r="E17"/>
      <x:c r="F17"/>
      <x:c r="G17"/>
      <x:c r="H17"/>
    </x:row>
    <x:row r="18" ht="14.25" hidden="0" customHeight="1">
      <x:c r="A18" s="217" t="s">
        <x:v>25</x:v>
      </x:c>
      <x:c r="B18" s="217" t="s">
        <x:v>32</x:v>
      </x:c>
      <x:c r="C18" s="249">
        <x:v>0</x:v>
      </x:c>
      <x:c r="D18" s="266" t="s">
        <x:v>33</x:v>
      </x:c>
      <x:c r="E18"/>
      <x:c r="F18"/>
      <x:c r="G18"/>
      <x:c r="H18"/>
    </x:row>
    <x:row r="19" ht="14.25" hidden="0" customHeight="1">
      <x:c r="A19" s="217" t="s">
        <x:v>25</x:v>
      </x:c>
      <x:c r="B19" s="217" t="s">
        <x:v>34</x:v>
      </x:c>
      <x:c r="C19" s="249">
        <x:v>0</x:v>
      </x:c>
      <x:c r="D19" s="266" t="s">
        <x:v>35</x:v>
      </x:c>
      <x:c r="E19"/>
      <x:c r="F19"/>
      <x:c r="G19"/>
      <x:c r="H19"/>
    </x:row>
    <x:row r="20" ht="14.25" hidden="0" customHeight="1">
      <x:c r="A20" s="217" t="s">
        <x:v>25</x:v>
      </x:c>
      <x:c r="B20" s="217" t="s">
        <x:v>36</x:v>
      </x:c>
      <x:c r="C20" s="249">
        <x:v>2.5000000000000001E-2</x:v>
      </x:c>
      <x:c r="D20" s="266" t="s">
        <x:v>35</x:v>
      </x:c>
      <x:c r="E20"/>
      <x:c r="F20"/>
      <x:c r="G20"/>
      <x:c r="H20"/>
    </x:row>
    <x:row r="21" ht="14.25" hidden="0" customHeight="1">
      <x:c r="A21" s="217" t="s">
        <x:v>25</x:v>
      </x:c>
      <x:c r="B21" s="217" t="s">
        <x:v>37</x:v>
      </x:c>
      <x:c r="C21" s="249">
        <x:v>0.01</x:v>
      </x:c>
      <x:c r="D21" s="266" t="s">
        <x:v>35</x:v>
      </x:c>
      <x:c r="E21"/>
      <x:c r="F21"/>
      <x:c r="G21"/>
      <x:c r="H21"/>
    </x:row>
    <x:row r="22" ht="14.25" hidden="0" customHeight="1">
      <x:c r="A22" s="217" t="s">
        <x:v>25</x:v>
      </x:c>
      <x:c r="B22" s="217" t="s">
        <x:v>38</x:v>
      </x:c>
      <x:c r="C22" s="249">
        <x:v>0</x:v>
      </x:c>
      <x:c r="D22" s="266" t="s">
        <x:v>39</x:v>
      </x:c>
      <x:c r="E22"/>
      <x:c r="F22"/>
      <x:c r="G22"/>
      <x:c r="H22"/>
    </x:row>
    <x:row r="23" ht="14.25" hidden="0" customHeight="1">
      <x:c r="A23" s="217" t="s">
        <x:v>25</x:v>
      </x:c>
      <x:c r="B23" s="217" t="s">
        <x:v>40</x:v>
      </x:c>
      <x:c r="C23" s="250">
        <x:v>1</x:v>
      </x:c>
      <x:c r="D23" s="266" t="s">
        <x:v>41</x:v>
      </x:c>
      <x:c r="E23"/>
      <x:c r="F23"/>
      <x:c r="G23"/>
      <x:c r="H23"/>
    </x:row>
    <x:row r="24" ht="14.25" hidden="0" customHeight="1">
      <x:c r="A24" s="234" t="s">
        <x:v>42</x:v>
      </x:c>
      <x:c r="B24" s="234"/>
      <x:c r="C24" s="234"/>
      <x:c r="D24" s="265"/>
      <x:c r="E24"/>
      <x:c r="F24"/>
      <x:c r="G24"/>
      <x:c r="H24"/>
    </x:row>
    <x:row r="25" ht="14.25" hidden="0" customHeight="1">
      <x:c r="A25" s="217" t="s">
        <x:v>43</x:v>
      </x:c>
      <x:c r="B25" s="217" t="s">
        <x:v>44</x:v>
      </x:c>
      <x:c r="C25" s="249">
        <x:v>0.46455436516981996</x:v>
      </x:c>
      <x:c r="D25" s="266" t="s">
        <x:v>45</x:v>
      </x:c>
      <x:c r="E25"/>
      <x:c r="F25"/>
      <x:c r="G25"/>
      <x:c r="H25"/>
    </x:row>
    <x:row r="26" ht="14.25" hidden="0" customHeight="1">
      <x:c r="A26" s="217" t="s">
        <x:v>43</x:v>
      </x:c>
      <x:c r="B26" s="217" t="s">
        <x:v>46</x:v>
      </x:c>
      <x:c r="C26" s="251">
        <x:v>4.4999999999999998E-2</x:v>
      </x:c>
      <x:c r="D26" s="266" t="s">
        <x:v>47</x:v>
      </x:c>
      <x:c r="E26"/>
      <x:c r="F26"/>
      <x:c r="G26"/>
      <x:c r="H26"/>
    </x:row>
    <x:row r="27" ht="14.25" hidden="0" customHeight="1">
      <x:c r="A27" s="217" t="s">
        <x:v>43</x:v>
      </x:c>
      <x:c r="B27" s="217" t="s">
        <x:v>48</x:v>
      </x:c>
      <x:c r="C27" s="249">
        <x:v>0.04</x:v>
      </x:c>
      <x:c r="D27" s="266" t="s">
        <x:v>49</x:v>
      </x:c>
      <x:c r="E27"/>
      <x:c r="F27"/>
      <x:c r="G27"/>
      <x:c r="H27"/>
    </x:row>
    <x:row r="28" ht="14.25" hidden="0" customHeight="1">
      <x:c r="A28" s="217" t="s">
        <x:v>43</x:v>
      </x:c>
      <x:c r="B28" s="217" t="s">
        <x:v>50</x:v>
      </x:c>
      <x:c r="C28" s="249">
        <x:v>0</x:v>
      </x:c>
      <x:c r="D28" s="266" t="s">
        <x:v>51</x:v>
      </x:c>
      <x:c r="E28"/>
      <x:c r="F28"/>
      <x:c r="G28"/>
      <x:c r="H28"/>
    </x:row>
    <x:row r="29" ht="14.25" hidden="0" customHeight="1">
      <x:c r="A29" s="217" t="s">
        <x:v>43</x:v>
      </x:c>
      <x:c r="B29" s="217" t="s">
        <x:v>52</x:v>
      </x:c>
      <x:c r="C29" s="248">
        <x:v>0</x:v>
      </x:c>
      <x:c r="D29" s="266" t="s">
        <x:v>9</x:v>
      </x:c>
      <x:c r="E29"/>
      <x:c r="F29"/>
      <x:c r="G29"/>
      <x:c r="H29"/>
    </x:row>
    <x:row r="30" ht="14.25" hidden="0" customHeight="1">
      <x:c r="A30" s="217"/>
      <x:c r="B30" s="217"/>
      <x:c r="C30" s="217"/>
      <x:c r="D30" s="266"/>
      <x:c r="E30"/>
      <x:c r="F30"/>
      <x:c r="G30"/>
      <x:c r="H30"/>
    </x:row>
    <x:row r="31" ht="14.25" hidden="0" customHeight="1">
      <x:c r="A31" s="217"/>
      <x:c r="B31" s="217"/>
      <x:c r="C31" s="217"/>
      <x:c r="D31" s="266"/>
      <x:c r="E31"/>
      <x:c r="F31"/>
      <x:c r="G31"/>
      <x:c r="H31"/>
    </x:row>
    <x:row r="32" ht="14.25" hidden="0" customHeight="1">
      <x:c r="A32" s="234" t="s">
        <x:v>53</x:v>
      </x:c>
      <x:c r="B32" s="234"/>
      <x:c r="C32" s="234"/>
      <x:c r="D32" s="265"/>
      <x:c r="E32"/>
      <x:c r="F32"/>
      <x:c r="G32"/>
      <x:c r="H32"/>
    </x:row>
    <x:row r="33" ht="14.25" hidden="0" customHeight="1">
      <x:c r="A33" s="217" t="s">
        <x:v>54</x:v>
      </x:c>
      <x:c r="B33" s="217" t="str">
        <x:v>Cost of Equity</x:v>
      </x:c>
      <x:c r="C33" s="249">
        <x:v>0.08</x:v>
      </x:c>
      <x:c r="D33" s="266" t="str">
        <x:v>Equity required return used for equity NPV; enterprise valuation uses WACC below</x:v>
      </x:c>
      <x:c r="E33"/>
      <x:c r="F33"/>
      <x:c r="G33"/>
      <x:c r="H33"/>
    </x:row>
    <x:row r="34" ht="14.25" hidden="0" customHeight="1">
      <x:c r="A34" s="217" t="s">
        <x:v>54</x:v>
      </x:c>
      <x:c r="B34" s="217" t="s">
        <x:v>55</x:v>
      </x:c>
      <x:c r="C34" s="249">
        <x:v>0.01</x:v>
      </x:c>
      <x:c r="D34" s="266" t="s">
        <x:v>56</x:v>
      </x:c>
      <x:c r="E34"/>
      <x:c r="F34"/>
      <x:c r="G34"/>
      <x:c r="H34"/>
    </x:row>
    <x:row r="35" ht="14.25" hidden="0" customHeight="1">
      <x:c r="A35" s="217" t="s">
        <x:v>54</x:v>
      </x:c>
      <x:c r="B35" s="217" t="s">
        <x:v>57</x:v>
      </x:c>
      <x:c r="C35" s="254">
        <x:v>7</x:v>
      </x:c>
      <x:c r="D35" s="266" t="s">
        <x:v>58</x:v>
      </x:c>
      <x:c r="E35"/>
      <x:c r="F35"/>
      <x:c r="G35"/>
      <x:c r="H35"/>
    </x:row>
    <x:row r="36" ht="14.25" hidden="0" customHeight="1">
      <x:c r="A36" s="217" t="s">
        <x:v>54</x:v>
      </x:c>
      <x:c r="B36" s="217" t="s">
        <x:v>59</x:v>
      </x:c>
      <x:c r="C36" s="249">
        <x:v>0</x:v>
      </x:c>
      <x:c r="D36" s="266" t="s">
        <x:v>60</x:v>
      </x:c>
      <x:c r="E36"/>
      <x:c r="F36"/>
      <x:c r="G36"/>
      <x:c r="H36"/>
    </x:row>
    <x:row r="37" ht="14.25" hidden="0" customHeight="1">
      <x:c r="A37" s="217" t="s">
        <x:v>54</x:v>
      </x:c>
      <x:c r="B37" s="217" t="s">
        <x:v>61</x:v>
      </x:c>
      <x:c r="C37" s="249">
        <x:v>1</x:v>
      </x:c>
      <x:c r="D37" s="266" t="s">
        <x:v>60</x:v>
      </x:c>
      <x:c r="E37"/>
      <x:c r="F37"/>
      <x:c r="G37"/>
      <x:c r="H37"/>
    </x:row>
    <x:row r="38" ht="14.25" hidden="0" customHeight="1">
      <x:c r="A38" s="217"/>
      <x:c r="B38" s="217"/>
      <x:c r="C38" s="217"/>
      <x:c r="D38" s="266"/>
      <x:c r="E38"/>
      <x:c r="F38"/>
      <x:c r="G38"/>
      <x:c r="H38"/>
    </x:row>
    <x:row r="39" ht="14.25" hidden="0" customHeight="1">
      <x:c r="A39" s="234" t="s">
        <x:v>62</x:v>
      </x:c>
      <x:c r="B39" s="234"/>
      <x:c r="C39" s="234"/>
      <x:c r="D39" s="265"/>
      <x:c r="E39"/>
      <x:c r="F39"/>
      <x:c r="G39"/>
      <x:c r="H39"/>
    </x:row>
    <x:row r="40" ht="14.25" hidden="0" customHeight="1">
      <x:c r="A40" s="217" t="s">
        <x:v>63</x:v>
      </x:c>
      <x:c r="B40" s="217" t="s">
        <x:v>64</x:v>
      </x:c>
      <x:c r="C40" s="249">
        <x:v>0.25</x:v>
      </x:c>
      <x:c r="D40" s="266" t="s">
        <x:v>65</x:v>
      </x:c>
      <x:c r="E40"/>
      <x:c r="F40"/>
      <x:c r="G40"/>
      <x:c r="H40"/>
    </x:row>
    <x:row r="41" ht="14.25" hidden="0" customHeight="1">
      <x:c r="A41" s="217" t="s">
        <x:v>63</x:v>
      </x:c>
      <x:c r="B41" s="217" t="s">
        <x:v>66</x:v>
      </x:c>
      <x:c r="C41" s="249">
        <x:v>0.55000000000000004</x:v>
      </x:c>
      <x:c r="D41" s="266" t="s">
        <x:v>65</x:v>
      </x:c>
      <x:c r="E41"/>
      <x:c r="F41"/>
      <x:c r="G41"/>
      <x:c r="H41"/>
    </x:row>
    <x:row r="42" ht="14.25" hidden="0" customHeight="1">
      <x:c r="A42" s="217" t="s">
        <x:v>63</x:v>
      </x:c>
      <x:c r="B42" s="217" t="s">
        <x:v>67</x:v>
      </x:c>
      <x:c r="C42" s="249">
        <x:v>0.2</x:v>
      </x:c>
      <x:c r="D42" s="266" t="s">
        <x:v>65</x:v>
      </x:c>
      <x:c r="E42"/>
      <x:c r="F42"/>
      <x:c r="G42"/>
      <x:c r="H42"/>
    </x:row>
    <x:row r="43" ht="14.25" hidden="0" customHeight="1">
      <x:c r="A43" s="217" t="s">
        <x:v>63</x:v>
      </x:c>
      <x:c r="B43" s="217" t="s">
        <x:v>68</x:v>
      </x:c>
      <x:c r="C43" s="249">
        <x:v>-1.4999999999999999E-2</x:v>
      </x:c>
      <x:c r="D43" s="266" t="s">
        <x:v>33</x:v>
      </x:c>
      <x:c r="E43"/>
      <x:c r="F43"/>
      <x:c r="G43"/>
      <x:c r="H43"/>
    </x:row>
    <x:row r="44" ht="14.25" hidden="0" customHeight="1">
      <x:c r="A44" s="217" t="s">
        <x:v>63</x:v>
      </x:c>
      <x:c r="B44" s="217" t="s">
        <x:v>69</x:v>
      </x:c>
      <x:c r="C44" s="249">
        <x:v>0.01</x:v>
      </x:c>
      <x:c r="D44" s="266" t="s">
        <x:v>33</x:v>
      </x:c>
      <x:c r="E44"/>
      <x:c r="F44"/>
      <x:c r="G44"/>
      <x:c r="H44"/>
    </x:row>
    <x:row r="45" ht="14.25" hidden="0" customHeight="1">
      <x:c r="A45" s="217" t="s">
        <x:v>63</x:v>
      </x:c>
      <x:c r="B45" s="217" t="s">
        <x:v>70</x:v>
      </x:c>
      <x:c r="C45" s="249">
        <x:v>-7.4999999999999997E-2</x:v>
      </x:c>
      <x:c r="D45" s="266" t="s">
        <x:v>33</x:v>
      </x:c>
      <x:c r="E45"/>
      <x:c r="F45"/>
      <x:c r="G45"/>
      <x:c r="H45"/>
    </x:row>
    <x:row r="46" ht="14.25" hidden="0" customHeight="1">
      <x:c r="A46" s="217" t="s">
        <x:v>63</x:v>
      </x:c>
      <x:c r="B46" s="217" t="s">
        <x:v>71</x:v>
      </x:c>
      <x:c r="C46" s="249">
        <x:v>0.05</x:v>
      </x:c>
      <x:c r="D46" s="266" t="s">
        <x:v>33</x:v>
      </x:c>
      <x:c r="E46"/>
      <x:c r="F46"/>
      <x:c r="G46"/>
      <x:c r="H46"/>
    </x:row>
    <x:row r="47" ht="14.25" hidden="0" customHeight="1">
      <x:c r="A47" s="217" t="s">
        <x:v>63</x:v>
      </x:c>
      <x:c r="B47" s="217" t="s">
        <x:v>72</x:v>
      </x:c>
      <x:c r="C47" s="254">
        <x:v>-2</x:v>
      </x:c>
      <x:c r="D47" s="266" t="s">
        <x:v>73</x:v>
      </x:c>
      <x:c r="E47"/>
      <x:c r="F47"/>
      <x:c r="G47"/>
      <x:c r="H47"/>
    </x:row>
    <x:row r="48" ht="14.25" hidden="0" customHeight="1">
      <x:c r="A48" s="217" t="s">
        <x:v>63</x:v>
      </x:c>
      <x:c r="B48" s="217" t="s">
        <x:v>74</x:v>
      </x:c>
      <x:c r="C48" s="254">
        <x:v>1.5</x:v>
      </x:c>
      <x:c r="D48" s="266" t="s">
        <x:v>73</x:v>
      </x:c>
      <x:c r="E48"/>
      <x:c r="F48"/>
      <x:c r="G48"/>
      <x:c r="H48"/>
    </x:row>
    <x:row r="49" ht="14.25" hidden="0" customHeight="1">
      <x:c r="A49" s="217" t="s">
        <x:v>63</x:v>
      </x:c>
      <x:c r="B49" s="217" t="s">
        <x:v>75</x:v>
      </x:c>
      <x:c r="C49" s="251">
        <x:v>1.35E-2</x:v>
      </x:c>
      <x:c r="D49" s="266" t="s">
        <x:v>47</x:v>
      </x:c>
      <x:c r="E49"/>
      <x:c r="F49"/>
      <x:c r="G49"/>
      <x:c r="H49"/>
    </x:row>
    <x:row r="50" ht="14.25" hidden="0" customHeight="1">
      <x:c r="A50" s="217" t="s">
        <x:v>63</x:v>
      </x:c>
      <x:c r="B50" s="217" t="s">
        <x:v>76</x:v>
      </x:c>
      <x:c r="C50" s="249">
        <x:v>0.08</x:v>
      </x:c>
      <x:c r="D50" s="266" t="s">
        <x:v>47</x:v>
      </x:c>
      <x:c r="E50"/>
      <x:c r="F50"/>
      <x:c r="G50"/>
      <x:c r="H50"/>
    </x:row>
    <x:row r="51" ht="14.25" hidden="0" customHeight="1">
      <x:c r="A51" s="217" t="s">
        <x:v>63</x:v>
      </x:c>
      <x:c r="B51" s="217" t="s">
        <x:v>77</x:v>
      </x:c>
      <x:c r="C51" s="249">
        <x:v>0.95</x:v>
      </x:c>
      <x:c r="D51" s="266" t="s">
        <x:v>78</x:v>
      </x:c>
      <x:c r="E51"/>
      <x:c r="F51"/>
      <x:c r="G51"/>
      <x:c r="H51"/>
    </x:row>
    <x:row r="52" ht="14.25" hidden="0" customHeight="1">
      <x:c r="A52" s="217"/>
      <x:c r="B52" s="217"/>
      <x:c r="C52" s="217"/>
      <x:c r="D52" s="266"/>
    </x:row>
    <x:row r="53" ht="14.25" hidden="0" customHeight="1">
      <x:c r="A53" s="234" t="str">
        <x:v>COST OF CAPITAL</x:v>
      </x:c>
      <x:c r="B53" s="234"/>
      <x:c r="C53" s="234"/>
      <x:c r="D53" s="265"/>
    </x:row>
    <x:row r="54" ht="14.25" hidden="0" customHeight="1">
      <x:c r="A54" s="217" t="str">
        <x:v>Valuation</x:v>
      </x:c>
      <x:c r="B54" s="217" t="str">
        <x:v>Debt Weight</x:v>
      </x:c>
      <x:c r="C54" s="260" t="n">
        <x:f>C25</x:f>
        <x:v>0.46455436516981996</x:v>
      </x:c>
      <x:c r="D54" s="266" t="str">
        <x:v>D/V proxy from disclosed acquisition capital structure</x:v>
      </x:c>
    </x:row>
    <x:row r="55" ht="14.25" hidden="0" customHeight="1">
      <x:c r="A55" s="217" t="str">
        <x:v>Valuation</x:v>
      </x:c>
      <x:c r="B55" s="217" t="str">
        <x:v>Equity Weight</x:v>
      </x:c>
      <x:c r="C55" s="260" t="n">
        <x:f>1-C54</x:f>
        <x:v>0.53544563483018</x:v>
      </x:c>
      <x:c r="D55" s="266" t="str">
        <x:v>1 − Debt Weight</x:v>
      </x:c>
    </x:row>
    <x:row r="56" ht="14.25" hidden="0" customHeight="1">
      <x:c r="A56" s="217" t="str">
        <x:v>Valuation</x:v>
      </x:c>
      <x:c r="B56" s="217" t="str">
        <x:v>Pre-tax Cost of Debt</x:v>
      </x:c>
      <x:c r="C56" s="260" t="n">
        <x:f>C26</x:f>
        <x:v>0.045</x:v>
      </x:c>
      <x:c r="D56" s="266" t="str">
        <x:v>Linked to the modeled cash interest rate</x:v>
      </x:c>
    </x:row>
    <x:row r="57" ht="14.25" hidden="0" customHeight="1">
      <x:c r="A57" s="217" t="str">
        <x:v>Valuation</x:v>
      </x:c>
      <x:c r="B57" s="217" t="str">
        <x:v>Tax Shield Rate</x:v>
      </x:c>
      <x:c r="C57" s="260" t="n">
        <x:f>C22</x:f>
        <x:v>0</x:v>
      </x:c>
      <x:c r="D57" s="266" t="str">
        <x:v>Linked to the modeled tax rate</x:v>
      </x:c>
    </x:row>
    <x:row r="58" ht="14.25" hidden="0" customHeight="1">
      <x:c r="A58" s="217" t="str">
        <x:v>Valuation</x:v>
      </x:c>
      <x:c r="B58" s="217" t="str">
        <x:v>Cost of Equity</x:v>
      </x:c>
      <x:c r="C58" s="260" t="n">
        <x:f>C33</x:f>
        <x:v>0.08</x:v>
      </x:c>
      <x:c r="D58" s="266" t="str">
        <x:v>Linked to the equity required return</x:v>
      </x:c>
    </x:row>
    <x:row r="59" ht="14.25" hidden="0" customHeight="1">
      <x:c r="A59" s="217" t="str">
        <x:v>Valuation</x:v>
      </x:c>
      <x:c r="B59" s="217" t="str">
        <x:v>Weighted Average Cost of Capital (WACC)</x:v>
      </x:c>
      <x:c r="C59" s="260" t="n">
        <x:f>C55*C58+C54*C56*(1-C57)</x:f>
        <x:v>0.0637405972190563</x:v>
      </x:c>
      <x:c r="D59" s="266" t="str">
        <x:v>E/V × Cost of Equity + D/V × Cost of Debt × (1 − tax rate)</x:v>
      </x:c>
    </x:row>
    <x:row r="60" ht="14.25" hidden="0" customHeight="1">
      <x:c r="A60" s="217" t="str">
        <x:v>Valuation</x:v>
      </x:c>
      <x:c r="B60" s="217" t="str">
        <x:v>WACC Sensitivity Step</x:v>
      </x:c>
      <x:c r="C60" s="261" t="n">
        <x:v>0.01</x:v>
      </x:c>
      <x:c r="D60" s="266" t="str">
        <x:v>Parallel ± enterprise discount-rate sensitivity</x:v>
      </x:c>
    </x:row>
    <x:row r="61" ht="14.25" customHeight="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sheetData>
  <x:mergeCells>
    <x:mergeCell ref="E61:F65"/>
    <x:mergeCell ref="A1:D1"/>
    <x:mergeCell ref="A2:D2"/>
  </x:mergeCells>
  <x:pageMargins left="0.7" right="0.7" top="0.75" bottom="0.75" header="0.3" footer="0.3"/>
  <x:legacyDrawing xmlns:r="http://schemas.openxmlformats.org/officeDocument/2006/relationships" r:id="R7eb6859e6de84e7d"/>
</x:worksheet>
</file>

<file path=xl/worksheets/sheet3.xml><?xml version="1.0" encoding="utf-8"?>
<x:worksheet xmlns:x="http://schemas.openxmlformats.org/spreadsheetml/2006/main">
  <x:sheetViews>
    <x:sheetView showGridLines="0" workbookViewId="0"/>
  </x:sheetViews>
  <x:sheetFormatPr defaultRowHeight="14.25"/>
  <x:cols>
    <x:col min="1" max="1" width="31"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7" width="12.53125" customWidth="1"/>
    <x:col min="18" max="18" width="14" hidden="0" customWidth="1"/>
    <x:col min="19" max="19" width="14" hidden="0" customWidth="1"/>
    <x:col min="20" max="20" width="14" hidden="0" customWidth="1"/>
    <x:col min="21" max="21" width="14" hidden="0" customWidth="1"/>
    <x:col min="22" max="22" width="14" hidden="0" customWidth="1"/>
    <x:col min="15" max="15" width="14" hidden="0" customWidth="1"/>
    <x:col min="16" max="16" width="14" hidden="0" customWidth="1"/>
    <x:col min="17" max="17" width="14" hidden="0" customWidth="1"/>
  </x:cols>
  <x:sheetData>
    <x:row r="1" ht="26" customHeight="1">
      <x:c r="A1" s="297" t="s">
        <x:v>79</x:v>
      </x:c>
      <x:c r="B1" s="229"/>
      <x:c r="C1" s="229"/>
      <x:c r="D1" s="229"/>
      <x:c r="E1" s="229"/>
      <x:c r="F1" s="229"/>
      <x:c r="G1" s="229"/>
      <x:c r="H1" s="229"/>
      <x:c r="I1" s="229"/>
      <x:c r="J1" s="229"/>
      <x:c r="K1" s="229"/>
      <x:c r="L1" s="229"/>
      <x:c r="M1" s="229"/>
      <x:c r="N1" s="229"/>
      <x:c r="O1" s="229"/>
      <x:c r="P1" s="229"/>
      <x:c r="Q1" s="229"/>
      <x:c r="R1" s="229"/>
      <x:c r="S1" s="229"/>
      <x:c r="T1" s="229"/>
      <x:c r="U1" s="229"/>
      <x:c r="V1" s="229"/>
    </x:row>
    <x:row r="2" ht="20" customHeight="1">
      <x:c r="A2" s="298" t="s">
        <x:v>80</x:v>
      </x:c>
      <x:c r="B2" s="114"/>
      <x:c r="C2" s="114"/>
      <x:c r="D2" s="114"/>
      <x:c r="E2" s="114"/>
      <x:c r="F2" s="114"/>
      <x:c r="G2" s="114"/>
      <x:c r="H2" s="114"/>
      <x:c r="I2" s="114"/>
      <x:c r="J2" s="114"/>
      <x:c r="K2" s="114"/>
      <x:c r="L2" s="114"/>
      <x:c r="M2" s="114"/>
      <x:c r="N2" s="114"/>
      <x:c r="O2" s="114"/>
      <x:c r="P2" s="114"/>
      <x:c r="Q2" s="114"/>
      <x:c r="R2" s="114"/>
      <x:c r="S2" s="114"/>
      <x:c r="T2" s="114"/>
      <x:c r="U2" s="114"/>
      <x:c r="V2" s="114"/>
    </x:row>
    <x:row r="3">
      <x:c r="A3" s="299"/>
      <x:c r="B3" s="268"/>
      <x:c r="C3" s="268"/>
      <x:c r="D3" s="268"/>
      <x:c r="E3" s="268"/>
      <x:c r="F3" s="268"/>
      <x:c r="G3" s="268"/>
      <x:c r="H3" s="268"/>
      <x:c r="I3" s="268"/>
      <x:c r="J3" s="268"/>
      <x:c r="K3" s="268"/>
      <x:c r="L3" s="268"/>
      <x:c r="M3" s="269"/>
      <x:c r="N3" s="269"/>
      <x:c r="O3" s="269"/>
      <x:c r="P3" s="269"/>
      <x:c r="Q3" s="269"/>
      <x:c r="R3" s="269"/>
      <x:c r="S3" s="269"/>
      <x:c r="T3" s="269"/>
      <x:c r="U3" s="269"/>
      <x:c r="V3" s="269"/>
    </x:row>
    <x:row r="4">
      <x:c r="A4" s="290" t="s">
        <x:v>81</x:v>
      </x:c>
      <x:c r="B4" s="288">
        <x:v>0</x:v>
      </x:c>
      <x:c r="C4" s="288">
        <x:v>1</x:v>
      </x:c>
      <x:c r="D4" s="288">
        <x:v>2</x:v>
      </x:c>
      <x:c r="E4" s="288">
        <x:v>3</x:v>
      </x:c>
      <x:c r="F4" s="288">
        <x:v>4</x:v>
      </x:c>
      <x:c r="G4" s="288">
        <x:v>5</x:v>
      </x:c>
      <x:c r="H4" s="288">
        <x:v>6</x:v>
      </x:c>
      <x:c r="I4" s="288">
        <x:v>7</x:v>
      </x:c>
      <x:c r="J4" s="288">
        <x:v>8</x:v>
      </x:c>
      <x:c r="K4" s="288">
        <x:v>9</x:v>
      </x:c>
      <x:c r="L4" s="288">
        <x:v>10</x:v>
      </x:c>
      <x:c r="M4" s="289">
        <x:v>11</x:v>
      </x:c>
      <x:c r="N4" s="289">
        <x:v>12</x:v>
      </x:c>
      <x:c r="O4" s="289">
        <x:v>13</x:v>
      </x:c>
      <x:c r="P4" s="289">
        <x:v>14</x:v>
      </x:c>
      <x:c r="Q4" s="289">
        <x:v>15</x:v>
      </x:c>
      <x:c r="R4" s="289">
        <x:v>16</x:v>
      </x:c>
      <x:c r="S4" s="289">
        <x:v>17</x:v>
      </x:c>
      <x:c r="T4" s="289">
        <x:v>18</x:v>
      </x:c>
      <x:c r="U4" s="289">
        <x:v>19</x:v>
      </x:c>
      <x:c r="V4" s="289">
        <x:v>20</x:v>
      </x:c>
    </x:row>
    <x:row r="5">
      <x:c r="A5" s="299"/>
      <x:c r="B5" s="301"/>
      <x:c r="C5" s="301"/>
      <x:c r="D5" s="301"/>
      <x:c r="E5" s="301"/>
      <x:c r="F5" s="301"/>
      <x:c r="G5" s="301"/>
      <x:c r="H5" s="301"/>
      <x:c r="I5" s="301"/>
      <x:c r="J5" s="301"/>
      <x:c r="K5" s="301"/>
      <x:c r="L5" s="301"/>
      <x:c r="M5" s="302"/>
      <x:c r="N5" s="302"/>
      <x:c r="O5" s="302"/>
      <x:c r="P5" s="302"/>
      <x:c r="Q5" s="302"/>
      <x:c r="R5" s="302"/>
      <x:c r="S5" s="302"/>
      <x:c r="T5" s="302"/>
      <x:c r="U5" s="302"/>
      <x:c r="V5" s="302"/>
    </x:row>
    <x:row r="6">
      <x:c r="A6" s="299" t="s">
        <x:v>82</x:v>
      </x:c>
      <x:c r="B6" s="301" t="n">
        <x:f>--(B$4&lt;=Inputs!$C$10)</x:f>
        <x:v>1</x:v>
      </x:c>
      <x:c r="C6" s="301" t="n">
        <x:f>--(C$4&lt;=Inputs!$C$10)</x:f>
        <x:v>1</x:v>
      </x:c>
      <x:c r="D6" s="301" t="n">
        <x:f>--(D$4&lt;=Inputs!$C$10)</x:f>
        <x:v>1</x:v>
      </x:c>
      <x:c r="E6" s="301" t="n">
        <x:f>--(E$4&lt;=Inputs!$C$10)</x:f>
        <x:v>1</x:v>
      </x:c>
      <x:c r="F6" s="301" t="n">
        <x:f>--(F$4&lt;=Inputs!$C$10)</x:f>
        <x:v>1</x:v>
      </x:c>
      <x:c r="G6" s="301" t="n">
        <x:f>--(G$4&lt;=Inputs!$C$10)</x:f>
        <x:v>1</x:v>
      </x:c>
      <x:c r="H6" s="301" t="n">
        <x:f>--(H$4&lt;=Inputs!$C$10)</x:f>
        <x:v>1</x:v>
      </x:c>
      <x:c r="I6" s="301" t="n">
        <x:f>--(I$4&lt;=Inputs!$C$10)</x:f>
        <x:v>1</x:v>
      </x:c>
      <x:c r="J6" s="301" t="n">
        <x:f>--(J$4&lt;=Inputs!$C$10)</x:f>
        <x:v>1</x:v>
      </x:c>
      <x:c r="K6" s="301" t="n">
        <x:f>--(K$4&lt;=Inputs!$C$10)</x:f>
        <x:v>1</x:v>
      </x:c>
      <x:c r="L6" s="301" t="n">
        <x:f>--(L$4&lt;=Inputs!$C$10)</x:f>
        <x:v>1</x:v>
      </x:c>
      <x:c r="M6" s="301" t="n">
        <x:f>--(M$4&lt;=Inputs!$C$10)</x:f>
        <x:v>1</x:v>
      </x:c>
      <x:c r="N6" s="301" t="n">
        <x:f>--(N$4&lt;=Inputs!$C$10)</x:f>
        <x:v>1</x:v>
      </x:c>
      <x:c r="O6" s="301" t="n">
        <x:f>--(O$4&lt;=Inputs!$C$10)</x:f>
        <x:v>1</x:v>
      </x:c>
      <x:c r="P6" s="301" t="n">
        <x:f>--(P$4&lt;=Inputs!$C$10)</x:f>
        <x:v>1</x:v>
      </x:c>
      <x:c r="Q6" s="301" t="n">
        <x:f>--(Q$4&lt;=Inputs!$C$10)</x:f>
        <x:v>1</x:v>
      </x:c>
      <x:c r="R6" s="301" t="n">
        <x:f>--(R$4&lt;=Inputs!$C$10)</x:f>
        <x:v>1</x:v>
      </x:c>
      <x:c r="S6" s="301" t="n">
        <x:f>--(S$4&lt;=Inputs!$C$10)</x:f>
        <x:v>1</x:v>
      </x:c>
      <x:c r="T6" s="301" t="n">
        <x:f>--(T$4&lt;=Inputs!$C$10)</x:f>
        <x:v>1</x:v>
      </x:c>
      <x:c r="U6" s="301" t="n">
        <x:f>--(U$4&lt;=Inputs!$C$10)</x:f>
        <x:v>1</x:v>
      </x:c>
      <x:c r="V6" s="301" t="n">
        <x:f>--(V$4&lt;=Inputs!$C$10)</x:f>
        <x:v>1</x:v>
      </x:c>
    </x:row>
    <x:row r="7">
      <x:c r="A7" s="300" t="s">
        <x:v>83</x:v>
      </x:c>
      <x:c r="B7" s="303"/>
      <x:c r="C7" s="303"/>
      <x:c r="D7" s="303"/>
      <x:c r="E7" s="303"/>
      <x:c r="F7" s="303"/>
      <x:c r="G7" s="303"/>
      <x:c r="H7" s="303"/>
      <x:c r="I7" s="303"/>
      <x:c r="J7" s="303"/>
      <x:c r="K7" s="303"/>
      <x:c r="L7" s="303"/>
      <x:c r="M7" s="303"/>
      <x:c r="N7" s="303"/>
      <x:c r="O7" s="303"/>
      <x:c r="P7" s="303"/>
      <x:c r="Q7" s="303"/>
      <x:c r="R7" s="303"/>
      <x:c r="S7" s="303"/>
      <x:c r="T7" s="303"/>
      <x:c r="U7" s="303"/>
      <x:c r="V7" s="303"/>
    </x:row>
    <x:row r="8">
      <x:c r="A8" s="299" t="s">
        <x:v>84</x:v>
      </x:c>
      <x:c r="B8" s="275" t="n">
        <x:f>IF(Inputs!$C$23&lt;=1,Inputs!$C$15,0)</x:f>
        <x:v>4891000</x:v>
      </x:c>
      <x:c r="C8" s="275" t="n">
        <x:f>IF(AND(C$6=1,C$4&gt;=Inputs!$C$23),IF(C$4=Inputs!$C$23,Inputs!$C$15*(1+Inputs!$C$16),B8*(1+Inputs!$C$16)),0)</x:f>
        <x:v>4952137.5</x:v>
      </x:c>
      <x:c r="D8" s="275" t="n">
        <x:f>IF(AND(D$6=1,D$4&gt;=Inputs!$C$23),IF(D$4=Inputs!$C$23,Inputs!$C$15*(1+Inputs!$C$16),C8*(1+Inputs!$C$16)),0)</x:f>
        <x:v>5014039.21875</x:v>
      </x:c>
      <x:c r="E8" s="275" t="n">
        <x:f>IF(AND(E$6=1,E$4&gt;=Inputs!$C$23),IF(E$4=Inputs!$C$23,Inputs!$C$15*(1+Inputs!$C$16),D8*(1+Inputs!$C$16)),0)</x:f>
        <x:v>5076714.708984375</x:v>
      </x:c>
      <x:c r="F8" s="275" t="n">
        <x:f>IF(AND(F$6=1,F$4&gt;=Inputs!$C$23),IF(F$4=Inputs!$C$23,Inputs!$C$15*(1+Inputs!$C$16),E8*(1+Inputs!$C$16)),0)</x:f>
        <x:v>5140173.642846679</x:v>
      </x:c>
      <x:c r="G8" s="275" t="n">
        <x:f>IF(AND(G$6=1,G$4&gt;=Inputs!$C$23),IF(G$4=Inputs!$C$23,Inputs!$C$15*(1+Inputs!$C$16),F8*(1+Inputs!$C$16)),0)</x:f>
        <x:v>5204425.813382262</x:v>
      </x:c>
      <x:c r="H8" s="275" t="n">
        <x:f>IF(AND(H$6=1,H$4&gt;=Inputs!$C$23),IF(H$4=Inputs!$C$23,Inputs!$C$15*(1+Inputs!$C$16),G8*(1+Inputs!$C$16)),0)</x:f>
        <x:v>5269481.136049541</x:v>
      </x:c>
      <x:c r="I8" s="275" t="n">
        <x:f>IF(AND(I$6=1,I$4&gt;=Inputs!$C$23),IF(I$4=Inputs!$C$23,Inputs!$C$15*(1+Inputs!$C$16),H8*(1+Inputs!$C$16)),0)</x:f>
        <x:v>5335349.65025016</x:v>
      </x:c>
      <x:c r="J8" s="275" t="n">
        <x:f>IF(AND(J$6=1,J$4&gt;=Inputs!$C$23),IF(J$4=Inputs!$C$23,Inputs!$C$15*(1+Inputs!$C$16),I8*(1+Inputs!$C$16)),0)</x:f>
        <x:v>5402041.520878287</x:v>
      </x:c>
      <x:c r="K8" s="275" t="n">
        <x:f>IF(AND(K$6=1,K$4&gt;=Inputs!$C$23),IF(K$4=Inputs!$C$23,Inputs!$C$15*(1+Inputs!$C$16),J8*(1+Inputs!$C$16)),0)</x:f>
        <x:v>5469567.039889266</x:v>
      </x:c>
      <x:c r="L8" s="275" t="n">
        <x:f>IF(AND(L$6=1,L$4&gt;=Inputs!$C$23),IF(L$4=Inputs!$C$23,Inputs!$C$15*(1+Inputs!$C$16),K8*(1+Inputs!$C$16)),0)</x:f>
        <x:v>5537936.627887881</x:v>
      </x:c>
      <x:c r="M8" s="275" t="n">
        <x:f>IF(AND(M$6=1,M$4&gt;=Inputs!$C$23),IF(M$4=Inputs!$C$23,Inputs!$C$15*(1+Inputs!$C$16),L8*(1+Inputs!$C$16)),0)</x:f>
        <x:v>5607160.83573648</x:v>
      </x:c>
      <x:c r="N8" s="275" t="n">
        <x:f>IF(AND(N$6=1,N$4&gt;=Inputs!$C$23),IF(N$4=Inputs!$C$23,Inputs!$C$15*(1+Inputs!$C$16),M8*(1+Inputs!$C$16)),0)</x:f>
        <x:v>5677250.346183185</x:v>
      </x:c>
      <x:c r="O8" s="275" t="n">
        <x:f>IF(AND(O$6=1,O$4&gt;=Inputs!$C$23),IF(O$4=Inputs!$C$23,Inputs!$C$15*(1+Inputs!$C$16),N8*(1+Inputs!$C$16)),0)</x:f>
        <x:v>5748215.975510475</x:v>
      </x:c>
      <x:c r="P8" s="275" t="n">
        <x:f>IF(AND(P$6=1,P$4&gt;=Inputs!$C$23),IF(P$4=Inputs!$C$23,Inputs!$C$15*(1+Inputs!$C$16),O8*(1+Inputs!$C$16)),0)</x:f>
        <x:v>5820068.675204356</x:v>
      </x:c>
      <x:c r="Q8" s="275" t="n">
        <x:f>IF(AND(Q$6=1,Q$4&gt;=Inputs!$C$23),IF(Q$4=Inputs!$C$23,Inputs!$C$15*(1+Inputs!$C$16),P8*(1+Inputs!$C$16)),0)</x:f>
        <x:v>5892819.533644411</x:v>
      </x:c>
      <x:c r="R8" s="275" t="n">
        <x:f>IF(AND(R$6=1,R$4&gt;=Inputs!$C$23),IF(R$4=Inputs!$C$23,Inputs!$C$15*(1+Inputs!$C$16),Q8*(1+Inputs!$C$16)),0)</x:f>
        <x:v>5966479.777814966</x:v>
      </x:c>
      <x:c r="S8" s="275" t="n">
        <x:f>IF(AND(S$6=1,S$4&gt;=Inputs!$C$23),IF(S$4=Inputs!$C$23,Inputs!$C$15*(1+Inputs!$C$16),R8*(1+Inputs!$C$16)),0)</x:f>
        <x:v>6041060.775037653</x:v>
      </x:c>
      <x:c r="T8" s="275" t="n">
        <x:f>IF(AND(T$6=1,T$4&gt;=Inputs!$C$23),IF(T$4=Inputs!$C$23,Inputs!$C$15*(1+Inputs!$C$16),S8*(1+Inputs!$C$16)),0)</x:f>
        <x:v>6116574.034725623</x:v>
      </x:c>
      <x:c r="U8" s="275" t="n">
        <x:f>IF(AND(U$6=1,U$4&gt;=Inputs!$C$23),IF(U$4=Inputs!$C$23,Inputs!$C$15*(1+Inputs!$C$16),T8*(1+Inputs!$C$16)),0)</x:f>
        <x:v>6193031.210159693</x:v>
      </x:c>
      <x:c r="V8" s="275" t="n">
        <x:f>IF(AND(V$6=1,V$4&gt;=Inputs!$C$23),IF(V$4=Inputs!$C$23,Inputs!$C$15*(1+Inputs!$C$16),U8*(1+Inputs!$C$16)),0)</x:f>
        <x:v>6270444.100286689</x:v>
      </x:c>
    </x:row>
    <x:row r="9">
      <x:c r="A9" s="299" t="s">
        <x:v>28</x:v>
      </x:c>
      <x:c r="B9" s="304">
        <x:v>0</x:v>
      </x:c>
      <x:c r="C9" s="304" t="n">
        <x:f>IF(AND(C$6=1,C$4&gt;=Inputs!$C$23),Inputs!$C$16,0)</x:f>
        <x:v>0.0125</x:v>
      </x:c>
      <x:c r="D9" s="304" t="n">
        <x:f>IF(AND(D$6=1,D$4&gt;=Inputs!$C$23),Inputs!$C$16,0)</x:f>
        <x:v>0.0125</x:v>
      </x:c>
      <x:c r="E9" s="304" t="n">
        <x:f>IF(AND(E$6=1,E$4&gt;=Inputs!$C$23),Inputs!$C$16,0)</x:f>
        <x:v>0.0125</x:v>
      </x:c>
      <x:c r="F9" s="304" t="n">
        <x:f>IF(AND(F$6=1,F$4&gt;=Inputs!$C$23),Inputs!$C$16,0)</x:f>
        <x:v>0.0125</x:v>
      </x:c>
      <x:c r="G9" s="304" t="n">
        <x:f>IF(AND(G$6=1,G$4&gt;=Inputs!$C$23),Inputs!$C$16,0)</x:f>
        <x:v>0.0125</x:v>
      </x:c>
      <x:c r="H9" s="304" t="n">
        <x:f>IF(AND(H$6=1,H$4&gt;=Inputs!$C$23),Inputs!$C$16,0)</x:f>
        <x:v>0.0125</x:v>
      </x:c>
      <x:c r="I9" s="304" t="n">
        <x:f>IF(AND(I$6=1,I$4&gt;=Inputs!$C$23),Inputs!$C$16,0)</x:f>
        <x:v>0.0125</x:v>
      </x:c>
      <x:c r="J9" s="304" t="n">
        <x:f>IF(AND(J$6=1,J$4&gt;=Inputs!$C$23),Inputs!$C$16,0)</x:f>
        <x:v>0.0125</x:v>
      </x:c>
      <x:c r="K9" s="304" t="n">
        <x:f>IF(AND(K$6=1,K$4&gt;=Inputs!$C$23),Inputs!$C$16,0)</x:f>
        <x:v>0.0125</x:v>
      </x:c>
      <x:c r="L9" s="304" t="n">
        <x:f>IF(AND(L$6=1,L$4&gt;=Inputs!$C$23),Inputs!$C$16,0)</x:f>
        <x:v>0.0125</x:v>
      </x:c>
      <x:c r="M9" s="304" t="n">
        <x:f>IF(AND(M$6=1,M$4&gt;=Inputs!$C$23),Inputs!$C$16,0)</x:f>
        <x:v>0.0125</x:v>
      </x:c>
      <x:c r="N9" s="304" t="n">
        <x:f>IF(AND(N$6=1,N$4&gt;=Inputs!$C$23),Inputs!$C$16,0)</x:f>
        <x:v>0.0125</x:v>
      </x:c>
      <x:c r="O9" s="304" t="n">
        <x:f>IF(AND(O$6=1,O$4&gt;=Inputs!$C$23),Inputs!$C$16,0)</x:f>
        <x:v>0.0125</x:v>
      </x:c>
      <x:c r="P9" s="304" t="n">
        <x:f>IF(AND(P$6=1,P$4&gt;=Inputs!$C$23),Inputs!$C$16,0)</x:f>
        <x:v>0.0125</x:v>
      </x:c>
      <x:c r="Q9" s="304" t="n">
        <x:f>IF(AND(Q$6=1,Q$4&gt;=Inputs!$C$23),Inputs!$C$16,0)</x:f>
        <x:v>0.0125</x:v>
      </x:c>
      <x:c r="R9" s="304" t="n">
        <x:f>IF(AND(R$6=1,R$4&gt;=Inputs!$C$23),Inputs!$C$16,0)</x:f>
        <x:v>0.0125</x:v>
      </x:c>
      <x:c r="S9" s="304" t="n">
        <x:f>IF(AND(S$6=1,S$4&gt;=Inputs!$C$23),Inputs!$C$16,0)</x:f>
        <x:v>0.0125</x:v>
      </x:c>
      <x:c r="T9" s="304" t="n">
        <x:f>IF(AND(T$6=1,T$4&gt;=Inputs!$C$23),Inputs!$C$16,0)</x:f>
        <x:v>0.0125</x:v>
      </x:c>
      <x:c r="U9" s="304" t="n">
        <x:f>IF(AND(U$6=1,U$4&gt;=Inputs!$C$23),Inputs!$C$16,0)</x:f>
        <x:v>0.0125</x:v>
      </x:c>
      <x:c r="V9" s="304" t="n">
        <x:f>IF(AND(V$6=1,V$4&gt;=Inputs!$C$23),Inputs!$C$16,0)</x:f>
        <x:v>0.0125</x:v>
      </x:c>
    </x:row>
    <x:row r="10">
      <x:c r="A10" s="299" t="s">
        <x:v>30</x:v>
      </x:c>
      <x:c r="B10" s="304" t="n">
        <x:f>Inputs!$C$17</x:f>
        <x:v>0.775</x:v>
      </x:c>
      <x:c r="C10" s="304" t="n">
        <x:f>IF(AND(C$6=1,C$4&gt;=Inputs!$C$23),MIN(100%,Inputs!$C$17+Inputs!$C$18*(C$4-Inputs!$C$23+1)),0)</x:f>
        <x:v>0.775</x:v>
      </x:c>
      <x:c r="D10" s="304" t="n">
        <x:f>IF(AND(D$6=1,D$4&gt;=Inputs!$C$23),MIN(100%,Inputs!$C$17+Inputs!$C$18*(D$4-Inputs!$C$23+1)),0)</x:f>
        <x:v>0.775</x:v>
      </x:c>
      <x:c r="E10" s="304" t="n">
        <x:f>IF(AND(E$6=1,E$4&gt;=Inputs!$C$23),MIN(100%,Inputs!$C$17+Inputs!$C$18*(E$4-Inputs!$C$23+1)),0)</x:f>
        <x:v>0.775</x:v>
      </x:c>
      <x:c r="F10" s="304" t="n">
        <x:f>IF(AND(F$6=1,F$4&gt;=Inputs!$C$23),MIN(100%,Inputs!$C$17+Inputs!$C$18*(F$4-Inputs!$C$23+1)),0)</x:f>
        <x:v>0.775</x:v>
      </x:c>
      <x:c r="G10" s="304" t="n">
        <x:f>IF(AND(G$6=1,G$4&gt;=Inputs!$C$23),MIN(100%,Inputs!$C$17+Inputs!$C$18*(G$4-Inputs!$C$23+1)),0)</x:f>
        <x:v>0.775</x:v>
      </x:c>
      <x:c r="H10" s="304" t="n">
        <x:f>IF(AND(H$6=1,H$4&gt;=Inputs!$C$23),MIN(100%,Inputs!$C$17+Inputs!$C$18*(H$4-Inputs!$C$23+1)),0)</x:f>
        <x:v>0.775</x:v>
      </x:c>
      <x:c r="I10" s="304" t="n">
        <x:f>IF(AND(I$6=1,I$4&gt;=Inputs!$C$23),MIN(100%,Inputs!$C$17+Inputs!$C$18*(I$4-Inputs!$C$23+1)),0)</x:f>
        <x:v>0.775</x:v>
      </x:c>
      <x:c r="J10" s="304" t="n">
        <x:f>IF(AND(J$6=1,J$4&gt;=Inputs!$C$23),MIN(100%,Inputs!$C$17+Inputs!$C$18*(J$4-Inputs!$C$23+1)),0)</x:f>
        <x:v>0.775</x:v>
      </x:c>
      <x:c r="K10" s="304" t="n">
        <x:f>IF(AND(K$6=1,K$4&gt;=Inputs!$C$23),MIN(100%,Inputs!$C$17+Inputs!$C$18*(K$4-Inputs!$C$23+1)),0)</x:f>
        <x:v>0.775</x:v>
      </x:c>
      <x:c r="L10" s="304" t="n">
        <x:f>IF(AND(L$6=1,L$4&gt;=Inputs!$C$23),MIN(100%,Inputs!$C$17+Inputs!$C$18*(L$4-Inputs!$C$23+1)),0)</x:f>
        <x:v>0.775</x:v>
      </x:c>
      <x:c r="M10" s="304" t="n">
        <x:f>IF(AND(M$6=1,M$4&gt;=Inputs!$C$23),MIN(100%,Inputs!$C$17+Inputs!$C$18*(M$4-Inputs!$C$23+1)),0)</x:f>
        <x:v>0.775</x:v>
      </x:c>
      <x:c r="N10" s="304" t="n">
        <x:f>IF(AND(N$6=1,N$4&gt;=Inputs!$C$23),MIN(100%,Inputs!$C$17+Inputs!$C$18*(N$4-Inputs!$C$23+1)),0)</x:f>
        <x:v>0.775</x:v>
      </x:c>
      <x:c r="O10" s="304" t="n">
        <x:f>IF(AND(O$6=1,O$4&gt;=Inputs!$C$23),MIN(100%,Inputs!$C$17+Inputs!$C$18*(O$4-Inputs!$C$23+1)),0)</x:f>
        <x:v>0.775</x:v>
      </x:c>
      <x:c r="P10" s="304" t="n">
        <x:f>IF(AND(P$6=1,P$4&gt;=Inputs!$C$23),MIN(100%,Inputs!$C$17+Inputs!$C$18*(P$4-Inputs!$C$23+1)),0)</x:f>
        <x:v>0.775</x:v>
      </x:c>
      <x:c r="Q10" s="304" t="n">
        <x:f>IF(AND(Q$6=1,Q$4&gt;=Inputs!$C$23),MIN(100%,Inputs!$C$17+Inputs!$C$18*(Q$4-Inputs!$C$23+1)),0)</x:f>
        <x:v>0.775</x:v>
      </x:c>
      <x:c r="R10" s="304" t="n">
        <x:f>IF(AND(R$6=1,R$4&gt;=Inputs!$C$23),MIN(100%,Inputs!$C$17+Inputs!$C$18*(R$4-Inputs!$C$23+1)),0)</x:f>
        <x:v>0.775</x:v>
      </x:c>
      <x:c r="S10" s="304" t="n">
        <x:f>IF(AND(S$6=1,S$4&gt;=Inputs!$C$23),MIN(100%,Inputs!$C$17+Inputs!$C$18*(S$4-Inputs!$C$23+1)),0)</x:f>
        <x:v>0.775</x:v>
      </x:c>
      <x:c r="T10" s="304" t="n">
        <x:f>IF(AND(T$6=1,T$4&gt;=Inputs!$C$23),MIN(100%,Inputs!$C$17+Inputs!$C$18*(T$4-Inputs!$C$23+1)),0)</x:f>
        <x:v>0.775</x:v>
      </x:c>
      <x:c r="U10" s="304" t="n">
        <x:f>IF(AND(U$6=1,U$4&gt;=Inputs!$C$23),MIN(100%,Inputs!$C$17+Inputs!$C$18*(U$4-Inputs!$C$23+1)),0)</x:f>
        <x:v>0.775</x:v>
      </x:c>
      <x:c r="V10" s="304" t="n">
        <x:f>IF(AND(V$6=1,V$4&gt;=Inputs!$C$23),MIN(100%,Inputs!$C$17+Inputs!$C$18*(V$4-Inputs!$C$23+1)),0)</x:f>
        <x:v>0.775</x:v>
      </x:c>
    </x:row>
    <x:row r="11">
      <x:c r="A11" s="299" t="s">
        <x:v>85</x:v>
      </x:c>
      <x:c r="B11" s="275">
        <x:v>0</x:v>
      </x:c>
      <x:c r="C11" s="275" t="n">
        <x:f t="shared" ref="C11:L11" si="0">C8*C10</x:f>
        <x:v>3837906.5625</x:v>
      </x:c>
      <x:c r="D11" s="275">
        <x:f t="shared" si="0"/>
        <x:v>3885880.39453125</x:v>
      </x:c>
      <x:c r="E11" s="275">
        <x:f t="shared" si="0"/>
        <x:v>3934453.8994628908</x:v>
      </x:c>
      <x:c r="F11" s="275">
        <x:f t="shared" si="0"/>
        <x:v>3983634.5732061765</x:v>
      </x:c>
      <x:c r="G11" s="275">
        <x:f t="shared" si="0"/>
        <x:v>4033430.0053712535</x:v>
      </x:c>
      <x:c r="H11" s="275">
        <x:f t="shared" si="0"/>
        <x:v>4083847.8804383944</x:v>
      </x:c>
      <x:c r="I11" s="275">
        <x:f t="shared" si="0"/>
        <x:v>4134895.9789438741</x:v>
      </x:c>
      <x:c r="J11" s="275">
        <x:f t="shared" si="0"/>
        <x:v>4186582.1786806728</x:v>
      </x:c>
      <x:c r="K11" s="275">
        <x:f t="shared" si="0"/>
        <x:v>4238914.4559141807</x:v>
      </x:c>
      <x:c r="L11" s="275">
        <x:f t="shared" si="0"/>
        <x:v>4291900.8866131082</x:v>
      </x:c>
      <x:c r="M11" s="275" t="n">
        <x:f t="shared" ref="M11:V11" si="1">M8*M10</x:f>
        <x:v>4345549.647695771</x:v>
      </x:c>
      <x:c r="N11" s="275">
        <x:f t="shared" si="1"/>
        <x:v>4399869.0182919689</x:v>
      </x:c>
      <x:c r="O11" s="275">
        <x:f t="shared" si="1"/>
        <x:v>4454867.3810206186</x:v>
      </x:c>
      <x:c r="P11" s="275">
        <x:f t="shared" si="1"/>
        <x:v>4510553.2232833765</x:v>
      </x:c>
      <x:c r="Q11" s="275">
        <x:f t="shared" si="1"/>
        <x:v>4566935.1385744186</x:v>
      </x:c>
      <x:c r="R11" s="275">
        <x:f t="shared" si="1"/>
        <x:v>4624021.8278065985</x:v>
      </x:c>
      <x:c r="S11" s="275">
        <x:f t="shared" si="1"/>
        <x:v>4681822.1006541811</x:v>
      </x:c>
      <x:c r="T11" s="275">
        <x:f t="shared" si="1"/>
        <x:v>4740344.8769123582</x:v>
      </x:c>
      <x:c r="U11" s="275">
        <x:f t="shared" si="1"/>
        <x:v>4799599.1878737621</x:v>
      </x:c>
      <x:c r="V11" s="275">
        <x:f t="shared" si="1"/>
        <x:v>4859594.177722184</x:v>
      </x:c>
    </x:row>
    <x:row r="12">
      <x:c r="A12" s="299" t="s">
        <x:v>86</x:v>
      </x:c>
      <x:c r="B12" s="275">
        <x:v>0</x:v>
      </x:c>
      <x:c r="C12" s="275" t="n">
        <x:f>C8*Inputs!$C$19</x:f>
        <x:v>0</x:v>
      </x:c>
      <x:c r="D12" s="275" t="n">
        <x:f>D8*Inputs!$C$19</x:f>
        <x:v>0</x:v>
      </x:c>
      <x:c r="E12" s="275" t="n">
        <x:f>E8*Inputs!$C$19</x:f>
        <x:v>0</x:v>
      </x:c>
      <x:c r="F12" s="275" t="n">
        <x:f>F8*Inputs!$C$19</x:f>
        <x:v>0</x:v>
      </x:c>
      <x:c r="G12" s="275" t="n">
        <x:f>G8*Inputs!$C$19</x:f>
        <x:v>0</x:v>
      </x:c>
      <x:c r="H12" s="275" t="n">
        <x:f>H8*Inputs!$C$19</x:f>
        <x:v>0</x:v>
      </x:c>
      <x:c r="I12" s="275" t="n">
        <x:f>I8*Inputs!$C$19</x:f>
        <x:v>0</x:v>
      </x:c>
      <x:c r="J12" s="275" t="n">
        <x:f>J8*Inputs!$C$19</x:f>
        <x:v>0</x:v>
      </x:c>
      <x:c r="K12" s="275" t="n">
        <x:f>K8*Inputs!$C$19</x:f>
        <x:v>0</x:v>
      </x:c>
      <x:c r="L12" s="275" t="n">
        <x:f>L8*Inputs!$C$19</x:f>
        <x:v>0</x:v>
      </x:c>
      <x:c r="M12" s="275" t="n">
        <x:f>M8*Inputs!$C$19</x:f>
        <x:v>0</x:v>
      </x:c>
      <x:c r="N12" s="275" t="n">
        <x:f>N8*Inputs!$C$19</x:f>
        <x:v>0</x:v>
      </x:c>
      <x:c r="O12" s="275" t="n">
        <x:f>O8*Inputs!$C$19</x:f>
        <x:v>0</x:v>
      </x:c>
      <x:c r="P12" s="275" t="n">
        <x:f>P8*Inputs!$C$19</x:f>
        <x:v>0</x:v>
      </x:c>
      <x:c r="Q12" s="275" t="n">
        <x:f>Q8*Inputs!$C$19</x:f>
        <x:v>0</x:v>
      </x:c>
      <x:c r="R12" s="275" t="n">
        <x:f>R8*Inputs!$C$19</x:f>
        <x:v>0</x:v>
      </x:c>
      <x:c r="S12" s="275" t="n">
        <x:f>S8*Inputs!$C$19</x:f>
        <x:v>0</x:v>
      </x:c>
      <x:c r="T12" s="275" t="n">
        <x:f>T8*Inputs!$C$19</x:f>
        <x:v>0</x:v>
      </x:c>
      <x:c r="U12" s="275" t="n">
        <x:f>U8*Inputs!$C$19</x:f>
        <x:v>0</x:v>
      </x:c>
      <x:c r="V12" s="275" t="n">
        <x:f>V8*Inputs!$C$19</x:f>
        <x:v>0</x:v>
      </x:c>
    </x:row>
    <x:row r="13">
      <x:c r="A13" s="299" t="s">
        <x:v>87</x:v>
      </x:c>
      <x:c r="B13" s="275">
        <x:v>0</x:v>
      </x:c>
      <x:c r="C13" s="275" t="n">
        <x:f t="shared" ref="C13:L13" si="2">C11-C12</x:f>
        <x:v>3837906.5625</x:v>
      </x:c>
      <x:c r="D13" s="275">
        <x:f t="shared" si="2"/>
        <x:v>3885880.39453125</x:v>
      </x:c>
      <x:c r="E13" s="275">
        <x:f t="shared" si="2"/>
        <x:v>3934453.8994628908</x:v>
      </x:c>
      <x:c r="F13" s="275">
        <x:f t="shared" si="2"/>
        <x:v>3983634.5732061765</x:v>
      </x:c>
      <x:c r="G13" s="275">
        <x:f t="shared" si="2"/>
        <x:v>4033430.0053712535</x:v>
      </x:c>
      <x:c r="H13" s="275">
        <x:f t="shared" si="2"/>
        <x:v>4083847.8804383944</x:v>
      </x:c>
      <x:c r="I13" s="275">
        <x:f t="shared" si="2"/>
        <x:v>4134895.9789438741</x:v>
      </x:c>
      <x:c r="J13" s="275">
        <x:f t="shared" si="2"/>
        <x:v>4186582.1786806728</x:v>
      </x:c>
      <x:c r="K13" s="275">
        <x:f t="shared" si="2"/>
        <x:v>4238914.4559141807</x:v>
      </x:c>
      <x:c r="L13" s="275">
        <x:f t="shared" si="2"/>
        <x:v>4291900.8866131082</x:v>
      </x:c>
      <x:c r="M13" s="275" t="n">
        <x:f t="shared" ref="M13:V13" si="3">M11-M12</x:f>
        <x:v>4345549.647695771</x:v>
      </x:c>
      <x:c r="N13" s="275">
        <x:f t="shared" si="3"/>
        <x:v>4399869.0182919689</x:v>
      </x:c>
      <x:c r="O13" s="275">
        <x:f t="shared" si="3"/>
        <x:v>4454867.3810206186</x:v>
      </x:c>
      <x:c r="P13" s="275">
        <x:f t="shared" si="3"/>
        <x:v>4510553.2232833765</x:v>
      </x:c>
      <x:c r="Q13" s="275">
        <x:f t="shared" si="3"/>
        <x:v>4566935.1385744186</x:v>
      </x:c>
      <x:c r="R13" s="275">
        <x:f t="shared" si="3"/>
        <x:v>4624021.8278065985</x:v>
      </x:c>
      <x:c r="S13" s="275">
        <x:f t="shared" si="3"/>
        <x:v>4681822.1006541811</x:v>
      </x:c>
      <x:c r="T13" s="275">
        <x:f t="shared" si="3"/>
        <x:v>4740344.8769123582</x:v>
      </x:c>
      <x:c r="U13" s="275">
        <x:f t="shared" si="3"/>
        <x:v>4799599.1878737621</x:v>
      </x:c>
      <x:c r="V13" s="275">
        <x:f t="shared" si="3"/>
        <x:v>4859594.177722184</x:v>
      </x:c>
    </x:row>
    <x:row r="14">
      <x:c r="A14" s="299" t="s">
        <x:v>88</x:v>
      </x:c>
      <x:c r="B14" s="275">
        <x:v>0</x:v>
      </x:c>
      <x:c r="C14" s="275" t="n">
        <x:f>-MAX(0,C13*Inputs!$C$22)</x:f>
        <x:v>0</x:v>
      </x:c>
      <x:c r="D14" s="275" t="n">
        <x:f>-MAX(0,D13*Inputs!$C$22)</x:f>
        <x:v>0</x:v>
      </x:c>
      <x:c r="E14" s="275" t="n">
        <x:f>-MAX(0,E13*Inputs!$C$22)</x:f>
        <x:v>0</x:v>
      </x:c>
      <x:c r="F14" s="275" t="n">
        <x:f>-MAX(0,F13*Inputs!$C$22)</x:f>
        <x:v>0</x:v>
      </x:c>
      <x:c r="G14" s="275" t="n">
        <x:f>-MAX(0,G13*Inputs!$C$22)</x:f>
        <x:v>0</x:v>
      </x:c>
      <x:c r="H14" s="275" t="n">
        <x:f>-MAX(0,H13*Inputs!$C$22)</x:f>
        <x:v>0</x:v>
      </x:c>
      <x:c r="I14" s="275" t="n">
        <x:f>-MAX(0,I13*Inputs!$C$22)</x:f>
        <x:v>0</x:v>
      </x:c>
      <x:c r="J14" s="275" t="n">
        <x:f>-MAX(0,J13*Inputs!$C$22)</x:f>
        <x:v>0</x:v>
      </x:c>
      <x:c r="K14" s="275" t="n">
        <x:f>-MAX(0,K13*Inputs!$C$22)</x:f>
        <x:v>0</x:v>
      </x:c>
      <x:c r="L14" s="275" t="n">
        <x:f>-MAX(0,L13*Inputs!$C$22)</x:f>
        <x:v>0</x:v>
      </x:c>
      <x:c r="M14" s="275" t="n">
        <x:f>-MAX(0,M13*Inputs!$C$22)</x:f>
        <x:v>0</x:v>
      </x:c>
      <x:c r="N14" s="275" t="n">
        <x:f>-MAX(0,N13*Inputs!$C$22)</x:f>
        <x:v>0</x:v>
      </x:c>
      <x:c r="O14" s="275" t="n">
        <x:f>-MAX(0,O13*Inputs!$C$22)</x:f>
        <x:v>0</x:v>
      </x:c>
      <x:c r="P14" s="275" t="n">
        <x:f>-MAX(0,P13*Inputs!$C$22)</x:f>
        <x:v>0</x:v>
      </x:c>
      <x:c r="Q14" s="275" t="n">
        <x:f>-MAX(0,Q13*Inputs!$C$22)</x:f>
        <x:v>0</x:v>
      </x:c>
      <x:c r="R14" s="275" t="n">
        <x:f>-MAX(0,R13*Inputs!$C$22)</x:f>
        <x:v>0</x:v>
      </x:c>
      <x:c r="S14" s="275" t="n">
        <x:f>-MAX(0,S13*Inputs!$C$22)</x:f>
        <x:v>0</x:v>
      </x:c>
      <x:c r="T14" s="275" t="n">
        <x:f>-MAX(0,T13*Inputs!$C$22)</x:f>
        <x:v>0</x:v>
      </x:c>
      <x:c r="U14" s="275" t="n">
        <x:f>-MAX(0,U13*Inputs!$C$22)</x:f>
        <x:v>0</x:v>
      </x:c>
      <x:c r="V14" s="275" t="n">
        <x:f>-MAX(0,V13*Inputs!$C$22)</x:f>
        <x:v>0</x:v>
      </x:c>
    </x:row>
    <x:row r="15">
      <x:c r="A15" s="299" t="s">
        <x:v>36</x:v>
      </x:c>
      <x:c r="B15" s="275">
        <x:v>0</x:v>
      </x:c>
      <x:c r="C15" s="275" t="n">
        <x:f>-C8*Inputs!$C$20</x:f>
        <x:v>-123803.4375</x:v>
      </x:c>
      <x:c r="D15" s="275" t="n">
        <x:f>-D8*Inputs!$C$20</x:f>
        <x:v>-125350.98046875</x:v>
      </x:c>
      <x:c r="E15" s="275" t="n">
        <x:f>-E8*Inputs!$C$20</x:f>
        <x:v>-126917.86772460939</x:v>
      </x:c>
      <x:c r="F15" s="275" t="n">
        <x:f>-F8*Inputs!$C$20</x:f>
        <x:v>-128504.34107116699</x:v>
      </x:c>
      <x:c r="G15" s="275" t="n">
        <x:f>-G8*Inputs!$C$20</x:f>
        <x:v>-130110.64533455657</x:v>
      </x:c>
      <x:c r="H15" s="275" t="n">
        <x:f>-H8*Inputs!$C$20</x:f>
        <x:v>-131737.02840123852</x:v>
      </x:c>
      <x:c r="I15" s="275" t="n">
        <x:f>-I8*Inputs!$C$20</x:f>
        <x:v>-133383.741256254</x:v>
      </x:c>
      <x:c r="J15" s="275" t="n">
        <x:f>-J8*Inputs!$C$20</x:f>
        <x:v>-135051.03802195718</x:v>
      </x:c>
      <x:c r="K15" s="275" t="n">
        <x:f>-K8*Inputs!$C$20</x:f>
        <x:v>-136739.17599723165</x:v>
      </x:c>
      <x:c r="L15" s="275" t="n">
        <x:f>-L8*Inputs!$C$20</x:f>
        <x:v>-138448.41569719705</x:v>
      </x:c>
      <x:c r="M15" s="275" t="n">
        <x:f>-M8*Inputs!$C$20</x:f>
        <x:v>-140179.020893412</x:v>
      </x:c>
      <x:c r="N15" s="275" t="n">
        <x:f>-N8*Inputs!$C$20</x:f>
        <x:v>-141931.25865457964</x:v>
      </x:c>
      <x:c r="O15" s="275" t="n">
        <x:f>-O8*Inputs!$C$20</x:f>
        <x:v>-143705.3993877619</x:v>
      </x:c>
      <x:c r="P15" s="275" t="n">
        <x:f>-P8*Inputs!$C$20</x:f>
        <x:v>-145501.7168801089</x:v>
      </x:c>
      <x:c r="Q15" s="275" t="n">
        <x:f>-Q8*Inputs!$C$20</x:f>
        <x:v>-147320.48834111026</x:v>
      </x:c>
      <x:c r="R15" s="275" t="n">
        <x:f>-R8*Inputs!$C$20</x:f>
        <x:v>-149161.99444537415</x:v>
      </x:c>
      <x:c r="S15" s="275" t="n">
        <x:f>-S8*Inputs!$C$20</x:f>
        <x:v>-151026.51937594134</x:v>
      </x:c>
      <x:c r="T15" s="275" t="n">
        <x:f>-T8*Inputs!$C$20</x:f>
        <x:v>-152914.35086814058</x:v>
      </x:c>
      <x:c r="U15" s="275" t="n">
        <x:f>-U8*Inputs!$C$20</x:f>
        <x:v>-154825.78025399233</x:v>
      </x:c>
      <x:c r="V15" s="275" t="n">
        <x:f>-V8*Inputs!$C$20</x:f>
        <x:v>-156761.10250716723</x:v>
      </x:c>
    </x:row>
    <x:row r="16">
      <x:c r="A16" s="299" t="s">
        <x:v>89</x:v>
      </x:c>
      <x:c r="B16" s="275">
        <x:v>0</x:v>
      </x:c>
      <x:c r="C16" s="275" t="n">
        <x:f>-(C8-B8)*Inputs!$C$21</x:f>
        <x:v>-611.375</x:v>
      </x:c>
      <x:c r="D16" s="275" t="n">
        <x:f>-(D8-C8)*Inputs!$C$21</x:f>
        <x:v>-619.0171875</x:v>
      </x:c>
      <x:c r="E16" s="275" t="n">
        <x:f>-(E8-D8)*Inputs!$C$21</x:f>
        <x:v>-626.75490234375</x:v>
      </x:c>
      <x:c r="F16" s="275" t="n">
        <x:f>-(F8-E8)*Inputs!$C$21</x:f>
        <x:v>-634.5893386230432</x:v>
      </x:c>
      <x:c r="G16" s="275" t="n">
        <x:f>-(G8-F8)*Inputs!$C$21</x:f>
        <x:v>-642.5217053558305</x:v>
      </x:c>
      <x:c r="H16" s="275" t="n">
        <x:f>-(H8-G8)*Inputs!$C$21</x:f>
        <x:v>-650.5532266727835</x:v>
      </x:c>
      <x:c r="I16" s="275" t="n">
        <x:f>-(I8-H8)*Inputs!$C$21</x:f>
        <x:v>-658.6851420061943</x:v>
      </x:c>
      <x:c r="J16" s="275" t="n">
        <x:f>-(J8-I8)*Inputs!$C$21</x:f>
        <x:v>-666.918706281269</x:v>
      </x:c>
      <x:c r="K16" s="275" t="n">
        <x:f>-(K8-J8)*Inputs!$C$21</x:f>
        <x:v>-675.2551901097876</x:v>
      </x:c>
      <x:c r="L16" s="275" t="n">
        <x:f>-(L8-K8)*Inputs!$C$21</x:f>
        <x:v>-683.6958799861558</x:v>
      </x:c>
      <x:c r="M16" s="275" t="n">
        <x:f>-(M8-L8)*Inputs!$C$21</x:f>
        <x:v>-692.2420784859825</x:v>
      </x:c>
      <x:c r="N16" s="275" t="n">
        <x:f>-(N8-M8)*Inputs!$C$21</x:f>
        <x:v>-700.8951044670586</x:v>
      </x:c>
      <x:c r="O16" s="275" t="n">
        <x:f>-(O8-N8)*Inputs!$C$21</x:f>
        <x:v>-709.6562932728976</x:v>
      </x:c>
      <x:c r="P16" s="275" t="n">
        <x:f>-(P8-O8)*Inputs!$C$21</x:f>
        <x:v>-718.5269969388098</x:v>
      </x:c>
      <x:c r="Q16" s="275" t="n">
        <x:f>-(Q8-P8)*Inputs!$C$21</x:f>
        <x:v>-727.5085844005458</x:v>
      </x:c>
      <x:c r="R16" s="275" t="n">
        <x:f>-(R8-Q8)*Inputs!$C$21</x:f>
        <x:v>-736.6024417055492</x:v>
      </x:c>
      <x:c r="S16" s="275" t="n">
        <x:f>-(S8-R8)*Inputs!$C$21</x:f>
        <x:v>-745.8099722268712</x:v>
      </x:c>
      <x:c r="T16" s="275" t="n">
        <x:f>-(T8-S8)*Inputs!$C$21</x:f>
        <x:v>-755.1325968797039</x:v>
      </x:c>
      <x:c r="U16" s="275" t="n">
        <x:f>-(U8-T8)*Inputs!$C$21</x:f>
        <x:v>-764.5717543406971</x:v>
      </x:c>
      <x:c r="V16" s="275" t="n">
        <x:f>-(V8-U8)*Inputs!$C$21</x:f>
        <x:v>-774.1289012699574</x:v>
      </x:c>
    </x:row>
    <x:row r="17">
      <x:c r="A17" s="299" t="s">
        <x:v>90</x:v>
      </x:c>
      <x:c r="B17" s="275">
        <x:v>0</x:v>
      </x:c>
      <x:c r="C17" s="275" t="n">
        <x:f t="shared" ref="C17:L17" si="4">IF(C$6=1,C11+C14+C15+C16,0)</x:f>
        <x:v>3713491.75</x:v>
      </x:c>
      <x:c r="D17" s="275">
        <x:f t="shared" si="4"/>
        <x:v>3759910.3968750001</x:v>
      </x:c>
      <x:c r="E17" s="275">
        <x:f t="shared" si="4"/>
        <x:v>3806909.2768359375</x:v>
      </x:c>
      <x:c r="F17" s="275">
        <x:f t="shared" si="4"/>
        <x:v>3854495.6427963865</x:v>
      </x:c>
      <x:c r="G17" s="275">
        <x:f t="shared" si="4"/>
        <x:v>3902676.8383313408</x:v>
      </x:c>
      <x:c r="H17" s="275">
        <x:f t="shared" si="4"/>
        <x:v>3951460.2988104834</x:v>
      </x:c>
      <x:c r="I17" s="275">
        <x:f t="shared" si="4"/>
        <x:v>4000853.5525456141</x:v>
      </x:c>
      <x:c r="J17" s="275">
        <x:f t="shared" si="4"/>
        <x:v>4050864.2219524346</x:v>
      </x:c>
      <x:c r="K17" s="275">
        <x:f t="shared" si="4"/>
        <x:v>4101500.0247268393</x:v>
      </x:c>
      <x:c r="L17" s="275">
        <x:f t="shared" si="4"/>
        <x:v>4152768.7750359252</x:v>
      </x:c>
      <x:c r="M17" s="275" t="n">
        <x:f t="shared" ref="M17:V17" si="5">IF(M$6=1,M11+M14+M15+M16,0)</x:f>
        <x:v>4204678.384723874</x:v>
      </x:c>
      <x:c r="N17" s="275">
        <x:f t="shared" si="5"/>
        <x:v>4257236.8645329224</x:v>
      </x:c>
      <x:c r="O17" s="275">
        <x:f t="shared" si="5"/>
        <x:v>4310452.3253395837</x:v>
      </x:c>
      <x:c r="P17" s="275">
        <x:f t="shared" si="5"/>
        <x:v>4364332.9794063289</x:v>
      </x:c>
      <x:c r="Q17" s="275">
        <x:f t="shared" si="5"/>
        <x:v>4418887.1416489081</x:v>
      </x:c>
      <x:c r="R17" s="275">
        <x:f t="shared" si="5"/>
        <x:v>4474123.2309195185</x:v>
      </x:c>
      <x:c r="S17" s="275">
        <x:f t="shared" si="5"/>
        <x:v>4530049.7713060128</x:v>
      </x:c>
      <x:c r="T17" s="275">
        <x:f t="shared" si="5"/>
        <x:v>4586675.3934473386</x:v>
      </x:c>
      <x:c r="U17" s="275">
        <x:f t="shared" si="5"/>
        <x:v>4644008.8358654287</x:v>
      </x:c>
      <x:c r="V17" s="275">
        <x:f t="shared" si="5"/>
        <x:v>4702058.9463137463</x:v>
      </x:c>
    </x:row>
    <x:row r="18">
      <x:c r="A18" s="300" t="s">
        <x:v>91</x:v>
      </x:c>
      <x:c r="B18" s="296"/>
      <x:c r="C18" s="296"/>
      <x:c r="D18" s="296"/>
      <x:c r="E18" s="296"/>
      <x:c r="F18" s="296"/>
      <x:c r="G18" s="296"/>
      <x:c r="H18" s="296"/>
      <x:c r="I18" s="296"/>
      <x:c r="J18" s="296"/>
      <x:c r="K18" s="296"/>
      <x:c r="L18" s="296"/>
      <x:c r="M18" s="296"/>
      <x:c r="N18" s="296"/>
      <x:c r="O18" s="296"/>
      <x:c r="P18" s="296"/>
      <x:c r="Q18" s="296"/>
      <x:c r="R18" s="296"/>
      <x:c r="S18" s="296"/>
      <x:c r="T18" s="296"/>
      <x:c r="U18" s="296"/>
      <x:c r="V18" s="296"/>
    </x:row>
    <x:row r="19">
      <x:c r="A19" s="299" t="s">
        <x:v>92</x:v>
      </x:c>
      <x:c r="B19" s="275">
        <x:v>0</x:v>
      </x:c>
      <x:c r="C19" s="275" t="n">
        <x:f t="shared" ref="C19:L19" si="6">B22</x:f>
        <x:v>20380000</x:v>
      </x:c>
      <x:c r="D19" s="275">
        <x:f t="shared" si="6"/>
        <x:v>19564800</x:v>
      </x:c>
      <x:c r="E19" s="275">
        <x:f t="shared" si="6"/>
        <x:v>18749600</x:v>
      </x:c>
      <x:c r="F19" s="275">
        <x:f t="shared" si="6"/>
        <x:v>17934400</x:v>
      </x:c>
      <x:c r="G19" s="275">
        <x:f t="shared" si="6"/>
        <x:v>17119200</x:v>
      </x:c>
      <x:c r="H19" s="275">
        <x:f t="shared" si="6"/>
        <x:v>16304000</x:v>
      </x:c>
      <x:c r="I19" s="275">
        <x:f t="shared" si="6"/>
        <x:v>15488800</x:v>
      </x:c>
      <x:c r="J19" s="275">
        <x:f t="shared" si="6"/>
        <x:v>14673600</x:v>
      </x:c>
      <x:c r="K19" s="275">
        <x:f t="shared" si="6"/>
        <x:v>13858400</x:v>
      </x:c>
      <x:c r="L19" s="275">
        <x:f t="shared" si="6"/>
        <x:v>13043200</x:v>
      </x:c>
      <x:c r="M19" s="275" t="n">
        <x:f t="shared" ref="M19:V19" si="7">L22</x:f>
        <x:v>12228000</x:v>
      </x:c>
      <x:c r="N19" s="275">
        <x:f t="shared" si="7"/>
        <x:v>11412800</x:v>
      </x:c>
      <x:c r="O19" s="275">
        <x:f t="shared" si="7"/>
        <x:v>10597600</x:v>
      </x:c>
      <x:c r="P19" s="275">
        <x:f t="shared" si="7"/>
        <x:v>9782400</x:v>
      </x:c>
      <x:c r="Q19" s="275">
        <x:f t="shared" si="7"/>
        <x:v>8967200</x:v>
      </x:c>
      <x:c r="R19" s="275">
        <x:f t="shared" si="7"/>
        <x:v>8152000</x:v>
      </x:c>
      <x:c r="S19" s="275">
        <x:f t="shared" si="7"/>
        <x:v>7336800</x:v>
      </x:c>
      <x:c r="T19" s="275">
        <x:f t="shared" si="7"/>
        <x:v>6521600</x:v>
      </x:c>
      <x:c r="U19" s="275">
        <x:f t="shared" si="7"/>
        <x:v>5706400</x:v>
      </x:c>
      <x:c r="V19" s="275">
        <x:f t="shared" si="7"/>
        <x:v>4891200</x:v>
      </x:c>
    </x:row>
    <x:row r="20">
      <x:c r="A20" s="299" t="s">
        <x:v>93</x:v>
      </x:c>
      <x:c r="B20" s="275" t="n">
        <x:f>Inputs!$C$8*Inputs!$C$25</x:f>
        <x:v>20380000</x:v>
      </x:c>
      <x:c r="C20" s="275">
        <x:v>0</x:v>
      </x:c>
      <x:c r="D20" s="275">
        <x:v>0</x:v>
      </x:c>
      <x:c r="E20" s="275">
        <x:v>0</x:v>
      </x:c>
      <x:c r="F20" s="275">
        <x:v>0</x:v>
      </x:c>
      <x:c r="G20" s="275">
        <x:v>0</x:v>
      </x:c>
      <x:c r="H20" s="275">
        <x:v>0</x:v>
      </x:c>
      <x:c r="I20" s="275">
        <x:v>0</x:v>
      </x:c>
      <x:c r="J20" s="275">
        <x:v>0</x:v>
      </x:c>
      <x:c r="K20" s="275">
        <x:v>0</x:v>
      </x:c>
      <x:c r="L20" s="275">
        <x:v>0</x:v>
      </x:c>
      <x:c r="M20" s="275">
        <x:v>0</x:v>
      </x:c>
      <x:c r="N20" s="275">
        <x:v>0</x:v>
      </x:c>
      <x:c r="O20" s="275">
        <x:v>0</x:v>
      </x:c>
      <x:c r="P20" s="275">
        <x:v>0</x:v>
      </x:c>
      <x:c r="Q20" s="275">
        <x:v>0</x:v>
      </x:c>
      <x:c r="R20" s="275">
        <x:v>0</x:v>
      </x:c>
      <x:c r="S20" s="275">
        <x:v>0</x:v>
      </x:c>
      <x:c r="T20" s="275">
        <x:v>0</x:v>
      </x:c>
      <x:c r="U20" s="275">
        <x:v>0</x:v>
      </x:c>
      <x:c r="V20" s="275">
        <x:v>0</x:v>
      </x:c>
    </x:row>
    <x:row r="21">
      <x:c r="A21" s="299" t="s">
        <x:v>94</x:v>
      </x:c>
      <x:c r="B21" s="275">
        <x:v>0</x:v>
      </x:c>
      <x:c r="C21" s="275" t="n">
        <x:f>IF(C$6=1,MIN(C19,$B$20*Inputs!$C$27),0)</x:f>
        <x:v>815200</x:v>
      </x:c>
      <x:c r="D21" s="275" t="n">
        <x:f>IF(D$6=1,MIN(D19,$B$20*Inputs!$C$27),0)</x:f>
        <x:v>815200</x:v>
      </x:c>
      <x:c r="E21" s="275" t="n">
        <x:f>IF(E$6=1,MIN(E19,$B$20*Inputs!$C$27),0)</x:f>
        <x:v>815200</x:v>
      </x:c>
      <x:c r="F21" s="275" t="n">
        <x:f>IF(F$6=1,MIN(F19,$B$20*Inputs!$C$27),0)</x:f>
        <x:v>815200</x:v>
      </x:c>
      <x:c r="G21" s="275" t="n">
        <x:f>IF(G$6=1,MIN(G19,$B$20*Inputs!$C$27),0)</x:f>
        <x:v>815200</x:v>
      </x:c>
      <x:c r="H21" s="275" t="n">
        <x:f>IF(H$6=1,MIN(H19,$B$20*Inputs!$C$27),0)</x:f>
        <x:v>815200</x:v>
      </x:c>
      <x:c r="I21" s="275" t="n">
        <x:f>IF(I$6=1,MIN(I19,$B$20*Inputs!$C$27),0)</x:f>
        <x:v>815200</x:v>
      </x:c>
      <x:c r="J21" s="275" t="n">
        <x:f>IF(J$6=1,MIN(J19,$B$20*Inputs!$C$27),0)</x:f>
        <x:v>815200</x:v>
      </x:c>
      <x:c r="K21" s="275" t="n">
        <x:f>IF(K$6=1,MIN(K19,$B$20*Inputs!$C$27),0)</x:f>
        <x:v>815200</x:v>
      </x:c>
      <x:c r="L21" s="275" t="n">
        <x:f>IF(L$6=1,MIN(L19,$B$20*Inputs!$C$27),0)</x:f>
        <x:v>815200</x:v>
      </x:c>
      <x:c r="M21" s="275" t="n">
        <x:f>IF(M$6=1,MIN(M19,$B$20*Inputs!$C$27),0)</x:f>
        <x:v>815200</x:v>
      </x:c>
      <x:c r="N21" s="275" t="n">
        <x:f>IF(N$6=1,MIN(N19,$B$20*Inputs!$C$27),0)</x:f>
        <x:v>815200</x:v>
      </x:c>
      <x:c r="O21" s="275" t="n">
        <x:f>IF(O$6=1,MIN(O19,$B$20*Inputs!$C$27),0)</x:f>
        <x:v>815200</x:v>
      </x:c>
      <x:c r="P21" s="275" t="n">
        <x:f>IF(P$6=1,MIN(P19,$B$20*Inputs!$C$27),0)</x:f>
        <x:v>815200</x:v>
      </x:c>
      <x:c r="Q21" s="275" t="n">
        <x:f>IF(Q$6=1,MIN(Q19,$B$20*Inputs!$C$27),0)</x:f>
        <x:v>815200</x:v>
      </x:c>
      <x:c r="R21" s="275" t="n">
        <x:f>IF(R$6=1,MIN(R19,$B$20*Inputs!$C$27),0)</x:f>
        <x:v>815200</x:v>
      </x:c>
      <x:c r="S21" s="275" t="n">
        <x:f>IF(S$6=1,MIN(S19,$B$20*Inputs!$C$27),0)</x:f>
        <x:v>815200</x:v>
      </x:c>
      <x:c r="T21" s="275" t="n">
        <x:f>IF(T$6=1,MIN(T19,$B$20*Inputs!$C$27),0)</x:f>
        <x:v>815200</x:v>
      </x:c>
      <x:c r="U21" s="275" t="n">
        <x:f>IF(U$6=1,MIN(U19,$B$20*Inputs!$C$27),0)</x:f>
        <x:v>815200</x:v>
      </x:c>
      <x:c r="V21" s="275" t="n">
        <x:f>IF(V$6=1,MIN(V19,$B$20*Inputs!$C$27),0)</x:f>
        <x:v>815200</x:v>
      </x:c>
    </x:row>
    <x:row r="22">
      <x:c r="A22" s="299" t="s">
        <x:v>95</x:v>
      </x:c>
      <x:c r="B22" s="275" t="n">
        <x:f t="shared" ref="B22:L22" si="8">B19+B20-B21</x:f>
        <x:v>20380000</x:v>
      </x:c>
      <x:c r="C22" s="275">
        <x:f t="shared" si="8"/>
        <x:v>19564800</x:v>
      </x:c>
      <x:c r="D22" s="275">
        <x:f t="shared" si="8"/>
        <x:v>18749600</x:v>
      </x:c>
      <x:c r="E22" s="275">
        <x:f t="shared" si="8"/>
        <x:v>17934400</x:v>
      </x:c>
      <x:c r="F22" s="275">
        <x:f t="shared" si="8"/>
        <x:v>17119200</x:v>
      </x:c>
      <x:c r="G22" s="275">
        <x:f t="shared" si="8"/>
        <x:v>16304000</x:v>
      </x:c>
      <x:c r="H22" s="275">
        <x:f t="shared" si="8"/>
        <x:v>15488800</x:v>
      </x:c>
      <x:c r="I22" s="275">
        <x:f t="shared" si="8"/>
        <x:v>14673600</x:v>
      </x:c>
      <x:c r="J22" s="275">
        <x:f t="shared" si="8"/>
        <x:v>13858400</x:v>
      </x:c>
      <x:c r="K22" s="275">
        <x:f t="shared" si="8"/>
        <x:v>13043200</x:v>
      </x:c>
      <x:c r="L22" s="275">
        <x:f t="shared" si="8"/>
        <x:v>12228000</x:v>
      </x:c>
      <x:c r="M22" s="275" t="n">
        <x:f t="shared" ref="M22:V22" si="9">M19+M20-M21</x:f>
        <x:v>11412800</x:v>
      </x:c>
      <x:c r="N22" s="275">
        <x:f t="shared" si="9"/>
        <x:v>10597600</x:v>
      </x:c>
      <x:c r="O22" s="275">
        <x:f t="shared" si="9"/>
        <x:v>9782400</x:v>
      </x:c>
      <x:c r="P22" s="275">
        <x:f t="shared" si="9"/>
        <x:v>8967200</x:v>
      </x:c>
      <x:c r="Q22" s="275">
        <x:f t="shared" si="9"/>
        <x:v>8152000</x:v>
      </x:c>
      <x:c r="R22" s="275">
        <x:f t="shared" si="9"/>
        <x:v>7336800</x:v>
      </x:c>
      <x:c r="S22" s="275">
        <x:f t="shared" si="9"/>
        <x:v>6521600</x:v>
      </x:c>
      <x:c r="T22" s="275">
        <x:f t="shared" si="9"/>
        <x:v>5706400</x:v>
      </x:c>
      <x:c r="U22" s="275">
        <x:f t="shared" si="9"/>
        <x:v>4891200</x:v>
      </x:c>
      <x:c r="V22" s="275">
        <x:f t="shared" si="9"/>
        <x:v>4076000</x:v>
      </x:c>
    </x:row>
    <x:row r="23">
      <x:c r="A23" s="299" t="s">
        <x:v>96</x:v>
      </x:c>
      <x:c r="B23" s="275">
        <x:v>0</x:v>
      </x:c>
      <x:c r="C23" s="275" t="n">
        <x:f>IF(C$6=1,-((C19+C22)/2)*'Inputs'!$C$26,0)</x:f>
        <x:v>-898758</x:v>
      </x:c>
      <x:c r="D23" s="275" t="n">
        <x:f>IF(D$6=1,-((D19+D22)/2)*'Inputs'!$C$26,0)</x:f>
        <x:v>-862074</x:v>
      </x:c>
      <x:c r="E23" s="275" t="n">
        <x:f>IF(E$6=1,-((E19+E22)/2)*'Inputs'!$C$26,0)</x:f>
        <x:v>-825390</x:v>
      </x:c>
      <x:c r="F23" s="275" t="n">
        <x:f>IF(F$6=1,-((F19+F22)/2)*'Inputs'!$C$26,0)</x:f>
        <x:v>-788706</x:v>
      </x:c>
      <x:c r="G23" s="275" t="n">
        <x:f>IF(G$6=1,-((G19+G22)/2)*'Inputs'!$C$26,0)</x:f>
        <x:v>-752022</x:v>
      </x:c>
      <x:c r="H23" s="275" t="n">
        <x:f>IF(H$6=1,-((H19+H22)/2)*'Inputs'!$C$26,0)</x:f>
        <x:v>-715338</x:v>
      </x:c>
      <x:c r="I23" s="275" t="n">
        <x:f>IF(I$6=1,-((I19+I22)/2)*'Inputs'!$C$26,0)</x:f>
        <x:v>-678654</x:v>
      </x:c>
      <x:c r="J23" s="275" t="n">
        <x:f>IF(J$6=1,-((J19+J22)/2)*'Inputs'!$C$26,0)</x:f>
        <x:v>-641970</x:v>
      </x:c>
      <x:c r="K23" s="275" t="n">
        <x:f>IF(K$6=1,-((K19+K22)/2)*'Inputs'!$C$26,0)</x:f>
        <x:v>-605286</x:v>
      </x:c>
      <x:c r="L23" s="275" t="n">
        <x:f>IF(L$6=1,-((L19+L22)/2)*'Inputs'!$C$26,0)</x:f>
        <x:v>-568602</x:v>
      </x:c>
      <x:c r="M23" s="275" t="n">
        <x:f>IF(M$6=1,-((M19+M22)/2)*'Inputs'!$C$26,0)</x:f>
        <x:v>-531918</x:v>
      </x:c>
      <x:c r="N23" s="275" t="n">
        <x:f>IF(N$6=1,-((N19+N22)/2)*'Inputs'!$C$26,0)</x:f>
        <x:v>-495234</x:v>
      </x:c>
      <x:c r="O23" s="275" t="n">
        <x:f>IF(O$6=1,-((O19+O22)/2)*'Inputs'!$C$26,0)</x:f>
        <x:v>-458550</x:v>
      </x:c>
      <x:c r="P23" s="275" t="n">
        <x:f>IF(P$6=1,-((P19+P22)/2)*'Inputs'!$C$26,0)</x:f>
        <x:v>-421866</x:v>
      </x:c>
      <x:c r="Q23" s="275" t="n">
        <x:f>IF(Q$6=1,-((Q19+Q22)/2)*'Inputs'!$C$26,0)</x:f>
        <x:v>-385182</x:v>
      </x:c>
      <x:c r="R23" s="275" t="n">
        <x:f>IF(R$6=1,-((R19+R22)/2)*'Inputs'!$C$26,0)</x:f>
        <x:v>-348498</x:v>
      </x:c>
      <x:c r="S23" s="275" t="n">
        <x:f>IF(S$6=1,-((S19+S22)/2)*'Inputs'!$C$26,0)</x:f>
        <x:v>-311814</x:v>
      </x:c>
      <x:c r="T23" s="275" t="n">
        <x:f>IF(T$6=1,-((T19+T22)/2)*'Inputs'!$C$26,0)</x:f>
        <x:v>-275130</x:v>
      </x:c>
      <x:c r="U23" s="275" t="n">
        <x:f>IF(U$6=1,-((U19+U22)/2)*'Inputs'!$C$26,0)</x:f>
        <x:v>-238446</x:v>
      </x:c>
      <x:c r="V23" s="275" t="n">
        <x:f>IF(V$6=1,-((V19+V22)/2)*'Inputs'!$C$26,0)</x:f>
        <x:v>-201762</x:v>
      </x:c>
    </x:row>
    <x:row r="24">
      <x:c r="A24" s="300" t="s">
        <x:v>97</x:v>
      </x:c>
      <x:c r="B24" s="296"/>
      <x:c r="C24" s="296"/>
      <x:c r="D24" s="296"/>
      <x:c r="E24" s="296"/>
      <x:c r="F24" s="296"/>
      <x:c r="G24" s="296"/>
      <x:c r="H24" s="296"/>
      <x:c r="I24" s="296"/>
      <x:c r="J24" s="296"/>
      <x:c r="K24" s="296"/>
      <x:c r="L24" s="296"/>
      <x:c r="M24" s="296"/>
      <x:c r="N24" s="296"/>
      <x:c r="O24" s="296"/>
      <x:c r="P24" s="296"/>
      <x:c r="Q24" s="296"/>
      <x:c r="R24" s="296"/>
      <x:c r="S24" s="296"/>
      <x:c r="T24" s="296"/>
      <x:c r="U24" s="296"/>
      <x:c r="V24" s="296"/>
    </x:row>
    <x:row r="25">
      <x:c r="A25" s="299" t="s">
        <x:v>98</x:v>
      </x:c>
      <x:c r="B25" s="275">
        <x:v>0</x:v>
      </x:c>
      <x:c r="C25" s="275" t="n">
        <x:f>IF(C$4=Inputs!$C$10,C11*Inputs!$C$35,0)</x:f>
        <x:v>0</x:v>
      </x:c>
      <x:c r="D25" s="275" t="n">
        <x:f>IF(D$4=Inputs!$C$10,D11*Inputs!$C$35,0)</x:f>
        <x:v>0</x:v>
      </x:c>
      <x:c r="E25" s="275" t="n">
        <x:f>IF(E$4=Inputs!$C$10,E11*Inputs!$C$35,0)</x:f>
        <x:v>0</x:v>
      </x:c>
      <x:c r="F25" s="275" t="n">
        <x:f>IF(F$4=Inputs!$C$10,F11*Inputs!$C$35,0)</x:f>
        <x:v>0</x:v>
      </x:c>
      <x:c r="G25" s="275" t="n">
        <x:f>IF(G$4=Inputs!$C$10,G11*Inputs!$C$35,0)</x:f>
        <x:v>0</x:v>
      </x:c>
      <x:c r="H25" s="275" t="n">
        <x:f>IF(H$4=Inputs!$C$10,H11*Inputs!$C$35,0)</x:f>
        <x:v>0</x:v>
      </x:c>
      <x:c r="I25" s="275" t="n">
        <x:f>IF(I$4=Inputs!$C$10,I11*Inputs!$C$35,0)</x:f>
        <x:v>0</x:v>
      </x:c>
      <x:c r="J25" s="275" t="n">
        <x:f>IF(J$4=Inputs!$C$10,J11*Inputs!$C$35,0)</x:f>
        <x:v>0</x:v>
      </x:c>
      <x:c r="K25" s="275" t="n">
        <x:f>IF(K$4=Inputs!$C$10,K11*Inputs!$C$35,0)</x:f>
        <x:v>0</x:v>
      </x:c>
      <x:c r="L25" s="275" t="n">
        <x:f>IF(L$4=Inputs!$C$10,L11*Inputs!$C$35,0)</x:f>
        <x:v>0</x:v>
      </x:c>
      <x:c r="M25" s="275" t="n">
        <x:f>IF(M$4=Inputs!$C$10,M11*Inputs!$C$35,0)</x:f>
        <x:v>0</x:v>
      </x:c>
      <x:c r="N25" s="275" t="n">
        <x:f>IF(N$4=Inputs!$C$10,N11*Inputs!$C$35,0)</x:f>
        <x:v>0</x:v>
      </x:c>
      <x:c r="O25" s="275" t="n">
        <x:f>IF(O$4=Inputs!$C$10,O11*Inputs!$C$35,0)</x:f>
        <x:v>0</x:v>
      </x:c>
      <x:c r="P25" s="275" t="n">
        <x:f>IF(P$4=Inputs!$C$10,P11*Inputs!$C$35,0)</x:f>
        <x:v>0</x:v>
      </x:c>
      <x:c r="Q25" s="275" t="n">
        <x:f>IF(Q$4=Inputs!$C$10,Q11*Inputs!$C$35,0)</x:f>
        <x:v>0</x:v>
      </x:c>
      <x:c r="R25" s="275" t="n">
        <x:f>IF(R$4=Inputs!$C$10,R11*Inputs!$C$35,0)</x:f>
        <x:v>0</x:v>
      </x:c>
      <x:c r="S25" s="275" t="n">
        <x:f>IF(S$4=Inputs!$C$10,S11*Inputs!$C$35,0)</x:f>
        <x:v>0</x:v>
      </x:c>
      <x:c r="T25" s="275" t="n">
        <x:f>IF(T$4=Inputs!$C$10,T11*Inputs!$C$35,0)</x:f>
        <x:v>0</x:v>
      </x:c>
      <x:c r="U25" s="275" t="n">
        <x:f>IF(U$4=Inputs!$C$10,U11*Inputs!$C$35,0)</x:f>
        <x:v>0</x:v>
      </x:c>
      <x:c r="V25" s="275" t="n">
        <x:f>IF(V$4=Inputs!$C$10,V11*Inputs!$C$35,0)</x:f>
        <x:v>34017159.244055286</x:v>
      </x:c>
    </x:row>
    <x:row r="26">
      <x:c r="A26" s="299" t="s">
        <x:v>99</x:v>
      </x:c>
      <x:c r="B26" s="275">
        <x:v>0</x:v>
      </x:c>
      <x:c r="C26" s="275" t="n">
        <x:f>IF(C$4=Inputs!$C$10,MAX(0,C25-C22),0)</x:f>
        <x:v>0</x:v>
      </x:c>
      <x:c r="D26" s="275" t="n">
        <x:f>IF(D$4=Inputs!$C$10,MAX(0,D25-D22),0)</x:f>
        <x:v>0</x:v>
      </x:c>
      <x:c r="E26" s="275" t="n">
        <x:f>IF(E$4=Inputs!$C$10,MAX(0,E25-E22),0)</x:f>
        <x:v>0</x:v>
      </x:c>
      <x:c r="F26" s="275" t="n">
        <x:f>IF(F$4=Inputs!$C$10,MAX(0,F25-F22),0)</x:f>
        <x:v>0</x:v>
      </x:c>
      <x:c r="G26" s="275" t="n">
        <x:f>IF(G$4=Inputs!$C$10,MAX(0,G25-G22),0)</x:f>
        <x:v>0</x:v>
      </x:c>
      <x:c r="H26" s="275" t="n">
        <x:f>IF(H$4=Inputs!$C$10,MAX(0,H25-H22),0)</x:f>
        <x:v>0</x:v>
      </x:c>
      <x:c r="I26" s="275" t="n">
        <x:f>IF(I$4=Inputs!$C$10,MAX(0,I25-I22),0)</x:f>
        <x:v>0</x:v>
      </x:c>
      <x:c r="J26" s="275" t="n">
        <x:f>IF(J$4=Inputs!$C$10,MAX(0,J25-J22),0)</x:f>
        <x:v>0</x:v>
      </x:c>
      <x:c r="K26" s="275" t="n">
        <x:f>IF(K$4=Inputs!$C$10,MAX(0,K25-K22),0)</x:f>
        <x:v>0</x:v>
      </x:c>
      <x:c r="L26" s="275" t="n">
        <x:f>IF(L$4=Inputs!$C$10,MAX(0,L25-L22),0)</x:f>
        <x:v>0</x:v>
      </x:c>
      <x:c r="M26" s="275" t="n">
        <x:f>IF(M$4=Inputs!$C$10,MAX(0,M25-M22),0)</x:f>
        <x:v>0</x:v>
      </x:c>
      <x:c r="N26" s="275" t="n">
        <x:f>IF(N$4=Inputs!$C$10,MAX(0,N25-N22),0)</x:f>
        <x:v>0</x:v>
      </x:c>
      <x:c r="O26" s="275" t="n">
        <x:f>IF(O$4=Inputs!$C$10,MAX(0,O25-O22),0)</x:f>
        <x:v>0</x:v>
      </x:c>
      <x:c r="P26" s="275" t="n">
        <x:f>IF(P$4=Inputs!$C$10,MAX(0,P25-P22),0)</x:f>
        <x:v>0</x:v>
      </x:c>
      <x:c r="Q26" s="275" t="n">
        <x:f>IF(Q$4=Inputs!$C$10,MAX(0,Q25-Q22),0)</x:f>
        <x:v>0</x:v>
      </x:c>
      <x:c r="R26" s="275" t="n">
        <x:f>IF(R$4=Inputs!$C$10,MAX(0,R25-R22),0)</x:f>
        <x:v>0</x:v>
      </x:c>
      <x:c r="S26" s="275" t="n">
        <x:f>IF(S$4=Inputs!$C$10,MAX(0,S25-S22),0)</x:f>
        <x:v>0</x:v>
      </x:c>
      <x:c r="T26" s="275" t="n">
        <x:f>IF(T$4=Inputs!$C$10,MAX(0,T25-T22),0)</x:f>
        <x:v>0</x:v>
      </x:c>
      <x:c r="U26" s="275" t="n">
        <x:f>IF(U$4=Inputs!$C$10,MAX(0,U25-U22),0)</x:f>
        <x:v>0</x:v>
      </x:c>
      <x:c r="V26" s="275" t="n">
        <x:f>IF(V$4=Inputs!$C$10,MAX(0,V25-V22),0)</x:f>
        <x:v>29941159.244055286</x:v>
      </x:c>
    </x:row>
    <x:row r="27">
      <x:c r="A27" s="299"/>
      <x:c r="B27" s="275"/>
      <x:c r="C27" s="275"/>
      <x:c r="D27" s="275"/>
      <x:c r="E27" s="275"/>
      <x:c r="F27" s="275"/>
      <x:c r="G27" s="275"/>
      <x:c r="H27" s="275"/>
      <x:c r="I27" s="275"/>
      <x:c r="J27" s="275"/>
      <x:c r="K27" s="275"/>
      <x:c r="L27" s="275"/>
      <x:c r="M27" s="275"/>
      <x:c r="N27" s="275"/>
      <x:c r="O27" s="275"/>
      <x:c r="P27" s="275"/>
      <x:c r="Q27" s="275"/>
      <x:c r="R27" s="275"/>
      <x:c r="S27" s="275"/>
      <x:c r="T27" s="275"/>
      <x:c r="U27" s="275"/>
      <x:c r="V27" s="275"/>
    </x:row>
    <x:row r="28">
      <x:c r="A28" s="300" t="s">
        <x:v>100</x:v>
      </x:c>
      <x:c r="B28" s="296"/>
      <x:c r="C28" s="296"/>
      <x:c r="D28" s="296"/>
      <x:c r="E28" s="296"/>
      <x:c r="F28" s="296"/>
      <x:c r="G28" s="296"/>
      <x:c r="H28" s="296"/>
      <x:c r="I28" s="296"/>
      <x:c r="J28" s="296"/>
      <x:c r="K28" s="296"/>
      <x:c r="L28" s="296"/>
      <x:c r="M28" s="296"/>
      <x:c r="N28" s="296"/>
      <x:c r="O28" s="296"/>
      <x:c r="P28" s="296"/>
      <x:c r="Q28" s="296"/>
      <x:c r="R28" s="296"/>
      <x:c r="S28" s="296"/>
      <x:c r="T28" s="296"/>
      <x:c r="U28" s="296"/>
      <x:c r="V28" s="296"/>
    </x:row>
    <x:row r="29">
      <x:c r="A29" s="299" t="s">
        <x:v>101</x:v>
      </x:c>
      <x:c r="B29" s="275" t="n">
        <x:f>-(Inputs!$C$8*(1+Inputs!$C$9)+B20*Inputs!$C$28+Inputs!$C$29-B20)</x:f>
        <x:v>-23490000</x:v>
      </x:c>
      <x:c r="C29" s="275" t="n">
        <x:f t="shared" ref="C29:L29" si="10">IF(C$6=1,C17+C23-C21+C26,0)</x:f>
        <x:v>1999533.75</x:v>
      </x:c>
      <x:c r="D29" s="275">
        <x:f t="shared" si="10"/>
        <x:v>2082636.3968750001</x:v>
      </x:c>
      <x:c r="E29" s="275">
        <x:f t="shared" si="10"/>
        <x:v>2166319.2768359375</x:v>
      </x:c>
      <x:c r="F29" s="275">
        <x:f t="shared" si="10"/>
        <x:v>2250589.6427963865</x:v>
      </x:c>
      <x:c r="G29" s="275">
        <x:f t="shared" si="10"/>
        <x:v>2251896.8383313408</x:v>
      </x:c>
      <x:c r="H29" s="275">
        <x:f t="shared" si="10"/>
        <x:v>2341440.2988104834</x:v>
      </x:c>
      <x:c r="I29" s="275">
        <x:f t="shared" si="10"/>
        <x:v>2431593.5525456141</x:v>
      </x:c>
      <x:c r="J29" s="275">
        <x:f t="shared" si="10"/>
        <x:v>2522364.2219524346</x:v>
      </x:c>
      <x:c r="K29" s="275">
        <x:f t="shared" si="10"/>
        <x:v>2613760.0247268393</x:v>
      </x:c>
      <x:c r="L29" s="275">
        <x:f t="shared" si="10"/>
        <x:v>2642610.7750359252</x:v>
      </x:c>
      <x:c r="M29" s="275" t="n">
        <x:f t="shared" ref="M29:V29" si="11">IF(M$6=1,M17+M23-M21+M26,0)</x:f>
        <x:v>2857560.384723874</x:v>
      </x:c>
      <x:c r="N29" s="275">
        <x:f t="shared" si="11"/>
        <x:v>2836750.8645329224</x:v>
      </x:c>
      <x:c r="O29" s="275">
        <x:f t="shared" si="11"/>
        <x:v>2934802.3253395837</x:v>
      </x:c>
      <x:c r="P29" s="275">
        <x:f t="shared" si="11"/>
        <x:v>3033518.9794063289</x:v>
      </x:c>
      <x:c r="Q29" s="275">
        <x:f t="shared" si="11"/>
        <x:v>3132909.1416489081</x:v>
      </x:c>
      <x:c r="R29" s="275">
        <x:f t="shared" si="11"/>
        <x:v>3232981.2309195185</x:v>
      </x:c>
      <x:c r="S29" s="275">
        <x:f t="shared" si="11"/>
        <x:v>3333743.7713060128</x:v>
      </x:c>
      <x:c r="T29" s="275">
        <x:f t="shared" si="11"/>
        <x:v>3435205.3934473386</x:v>
      </x:c>
      <x:c r="U29" s="275">
        <x:f t="shared" si="11"/>
        <x:v>3537374.8358654287</x:v>
      </x:c>
      <x:c r="V29" s="275">
        <x:f t="shared" si="11"/>
        <x:v>33581420.190369032</x:v>
      </x:c>
    </x:row>
    <x:row r="30">
      <x:c r="A30" s="299" t="s">
        <x:v>102</x:v>
      </x:c>
      <x:c r="B30" s="275">
        <x:v>0</x:v>
      </x:c>
      <x:c r="C30" s="275" t="n">
        <x:f>IF(C$6=1,-ABS($B$29)*Inputs!$C$11,0)</x:f>
        <x:v>-223155</x:v>
      </x:c>
      <x:c r="D30" s="275" t="n">
        <x:f>IF(D$6=1,-ABS($B$29)*Inputs!$C$11,0)</x:f>
        <x:v>-223155</x:v>
      </x:c>
      <x:c r="E30" s="275" t="n">
        <x:f>IF(E$6=1,-ABS($B$29)*Inputs!$C$11,0)</x:f>
        <x:v>-223155</x:v>
      </x:c>
      <x:c r="F30" s="275" t="n">
        <x:f>IF(F$6=1,-ABS($B$29)*Inputs!$C$11,0)</x:f>
        <x:v>-223155</x:v>
      </x:c>
      <x:c r="G30" s="275" t="n">
        <x:f>IF(G$6=1,-ABS($B$29)*Inputs!$C$11,0)</x:f>
        <x:v>-223155</x:v>
      </x:c>
      <x:c r="H30" s="275" t="n">
        <x:f>IF(H$6=1,-ABS($B$29)*Inputs!$C$11,0)</x:f>
        <x:v>-223155</x:v>
      </x:c>
      <x:c r="I30" s="275" t="n">
        <x:f>IF(I$6=1,-ABS($B$29)*Inputs!$C$11,0)</x:f>
        <x:v>-223155</x:v>
      </x:c>
      <x:c r="J30" s="275" t="n">
        <x:f>IF(J$6=1,-ABS($B$29)*Inputs!$C$11,0)</x:f>
        <x:v>-223155</x:v>
      </x:c>
      <x:c r="K30" s="275" t="n">
        <x:f>IF(K$6=1,-ABS($B$29)*Inputs!$C$11,0)</x:f>
        <x:v>-223155</x:v>
      </x:c>
      <x:c r="L30" s="275" t="n">
        <x:f>IF(L$6=1,-ABS($B$29)*Inputs!$C$11,0)</x:f>
        <x:v>-223155</x:v>
      </x:c>
      <x:c r="M30" s="275" t="n">
        <x:f>IF(M$6=1,-ABS($B$29)*Inputs!$C$11,0)</x:f>
        <x:v>-223155</x:v>
      </x:c>
      <x:c r="N30" s="275" t="n">
        <x:f>IF(N$6=1,-ABS($B$29)*Inputs!$C$11,0)</x:f>
        <x:v>-223155</x:v>
      </x:c>
      <x:c r="O30" s="275" t="n">
        <x:f>IF(O$6=1,-ABS($B$29)*Inputs!$C$11,0)</x:f>
        <x:v>-223155</x:v>
      </x:c>
      <x:c r="P30" s="275" t="n">
        <x:f>IF(P$6=1,-ABS($B$29)*Inputs!$C$11,0)</x:f>
        <x:v>-223155</x:v>
      </x:c>
      <x:c r="Q30" s="275" t="n">
        <x:f>IF(Q$6=1,-ABS($B$29)*Inputs!$C$11,0)</x:f>
        <x:v>-223155</x:v>
      </x:c>
      <x:c r="R30" s="275" t="n">
        <x:f>IF(R$6=1,-ABS($B$29)*Inputs!$C$11,0)</x:f>
        <x:v>-223155</x:v>
      </x:c>
      <x:c r="S30" s="275" t="n">
        <x:f>IF(S$6=1,-ABS($B$29)*Inputs!$C$11,0)</x:f>
        <x:v>-223155</x:v>
      </x:c>
      <x:c r="T30" s="275" t="n">
        <x:f>IF(T$6=1,-ABS($B$29)*Inputs!$C$11,0)</x:f>
        <x:v>-223155</x:v>
      </x:c>
      <x:c r="U30" s="275" t="n">
        <x:f>IF(U$6=1,-ABS($B$29)*Inputs!$C$11,0)</x:f>
        <x:v>-223155</x:v>
      </x:c>
      <x:c r="V30" s="275" t="n">
        <x:f>IF(V$6=1,-ABS($B$29)*Inputs!$C$11,0)</x:f>
        <x:v>-223155</x:v>
      </x:c>
    </x:row>
    <x:row r="31">
      <x:c r="A31" s="299" t="s">
        <x:v>20</x:v>
      </x:c>
      <x:c r="B31" s="275">
        <x:v>0</x:v>
      </x:c>
      <x:c r="C31" s="275" t="n">
        <x:f>IF(C$4=Inputs!$C$10,-MAX(0,SUMPRODUCT(($B$29:C29+$B$30:C30),(1+Inputs!$C$13)^(C$4-$B$4:C$4)))*Inputs!$C$12,0)</x:f>
        <x:v>0</x:v>
      </x:c>
      <x:c r="D31" s="275" t="n">
        <x:f>IF(D$4=Inputs!$C$10,-MAX(0,SUMPRODUCT(($B$29:D29+$B$30:D30),(1+Inputs!$C$13)^(D$4-$B$4:D$4)))*Inputs!$C$12,0)</x:f>
        <x:v>0</x:v>
      </x:c>
      <x:c r="E31" s="275" t="n">
        <x:f>IF(E$4=Inputs!$C$10,-MAX(0,SUMPRODUCT(($B$29:E29+$B$30:E30),(1+Inputs!$C$13)^(E$4-$B$4:E$4)))*Inputs!$C$12,0)</x:f>
        <x:v>0</x:v>
      </x:c>
      <x:c r="F31" s="275" t="n">
        <x:f>IF(F$4=Inputs!$C$10,-MAX(0,SUMPRODUCT(($B$29:F29+$B$30:F30),(1+Inputs!$C$13)^(F$4-$B$4:F$4)))*Inputs!$C$12,0)</x:f>
        <x:v>0</x:v>
      </x:c>
      <x:c r="G31" s="275" t="n">
        <x:f>IF(G$4=Inputs!$C$10,-MAX(0,SUMPRODUCT(($B$29:G29+$B$30:G30),(1+Inputs!$C$13)^(G$4-$B$4:G$4)))*Inputs!$C$12,0)</x:f>
        <x:v>0</x:v>
      </x:c>
      <x:c r="H31" s="275" t="n">
        <x:f>IF(H$4=Inputs!$C$10,-MAX(0,SUMPRODUCT(($B$29:H29+$B$30:H30),(1+Inputs!$C$13)^(H$4-$B$4:H$4)))*Inputs!$C$12,0)</x:f>
        <x:v>0</x:v>
      </x:c>
      <x:c r="I31" s="275" t="n">
        <x:f>IF(I$4=Inputs!$C$10,-MAX(0,SUMPRODUCT(($B$29:I29+$B$30:I30),(1+Inputs!$C$13)^(I$4-$B$4:I$4)))*Inputs!$C$12,0)</x:f>
        <x:v>0</x:v>
      </x:c>
      <x:c r="J31" s="275" t="n">
        <x:f>IF(J$4=Inputs!$C$10,-MAX(0,SUMPRODUCT(($B$29:J29+$B$30:J30),(1+Inputs!$C$13)^(J$4-$B$4:J$4)))*Inputs!$C$12,0)</x:f>
        <x:v>0</x:v>
      </x:c>
      <x:c r="K31" s="275" t="n">
        <x:f>IF(K$4=Inputs!$C$10,-MAX(0,SUMPRODUCT(($B$29:K29+$B$30:K30),(1+Inputs!$C$13)^(K$4-$B$4:K$4)))*Inputs!$C$12,0)</x:f>
        <x:v>0</x:v>
      </x:c>
      <x:c r="L31" s="275" t="n">
        <x:f>IF(L$4=Inputs!$C$10,-MAX(0,SUMPRODUCT(($B$29:L29+$B$30:L30),(1+Inputs!$C$13)^(L$4-$B$4:L$4)))*Inputs!$C$12,0)</x:f>
        <x:v>0</x:v>
      </x:c>
      <x:c r="M31" s="275" t="n">
        <x:f>IF(M$4=Inputs!$C$10,-MAX(0,SUMPRODUCT(($B$29:M29+$B$30:M30),(1+Inputs!$C$13)^(M$4-$B$4:M$4)))*Inputs!$C$12,0)</x:f>
        <x:v>0</x:v>
      </x:c>
      <x:c r="N31" s="275" t="n">
        <x:f>IF(N$4=Inputs!$C$10,-MAX(0,SUMPRODUCT(($B$29:N29+$B$30:N30),(1+Inputs!$C$13)^(N$4-$B$4:N$4)))*Inputs!$C$12,0)</x:f>
        <x:v>0</x:v>
      </x:c>
      <x:c r="O31" s="275" t="n">
        <x:f>IF(O$4=Inputs!$C$10,-MAX(0,SUMPRODUCT(($B$29:O29+$B$30:O30),(1+Inputs!$C$13)^(O$4-$B$4:O$4)))*Inputs!$C$12,0)</x:f>
        <x:v>0</x:v>
      </x:c>
      <x:c r="P31" s="275" t="n">
        <x:f>IF(P$4=Inputs!$C$10,-MAX(0,SUMPRODUCT(($B$29:P29+$B$30:P30),(1+Inputs!$C$13)^(P$4-$B$4:P$4)))*Inputs!$C$12,0)</x:f>
        <x:v>0</x:v>
      </x:c>
      <x:c r="Q31" s="275" t="n">
        <x:f>IF(Q$4=Inputs!$C$10,-MAX(0,SUMPRODUCT(($B$29:Q29+$B$30:Q30),(1+Inputs!$C$13)^(Q$4-$B$4:Q$4)))*Inputs!$C$12,0)</x:f>
        <x:v>0</x:v>
      </x:c>
      <x:c r="R31" s="275" t="n">
        <x:f>IF(R$4=Inputs!$C$10,-MAX(0,SUMPRODUCT(($B$29:R29+$B$30:R30),(1+Inputs!$C$13)^(R$4-$B$4:R$4)))*Inputs!$C$12,0)</x:f>
        <x:v>0</x:v>
      </x:c>
      <x:c r="S31" s="275" t="n">
        <x:f>IF(S$4=Inputs!$C$10,-MAX(0,SUMPRODUCT(($B$29:S29+$B$30:S30),(1+Inputs!$C$13)^(S$4-$B$4:S$4)))*Inputs!$C$12,0)</x:f>
        <x:v>0</x:v>
      </x:c>
      <x:c r="T31" s="275" t="n">
        <x:f>IF(T$4=Inputs!$C$10,-MAX(0,SUMPRODUCT(($B$29:T29+$B$30:T30),(1+Inputs!$C$13)^(T$4-$B$4:T$4)))*Inputs!$C$12,0)</x:f>
        <x:v>0</x:v>
      </x:c>
      <x:c r="U31" s="275" t="n">
        <x:f>IF(U$4=Inputs!$C$10,-MAX(0,SUMPRODUCT(($B$29:U29+$B$30:U30),(1+Inputs!$C$13)^(U$4-$B$4:U$4)))*Inputs!$C$12,0)</x:f>
        <x:v>0</x:v>
      </x:c>
      <x:c r="V31" s="275" t="n">
        <x:f>IF(V$4=Inputs!$C$10,-MAX(0,SUMPRODUCT(($B$29:V29+$B$30:V30),(1+Inputs!$C$13)^(V$4-$B$4:V$4)))*Inputs!$C$12,0)</x:f>
        <x:v>-7121895.729009164</x:v>
      </x:c>
    </x:row>
    <x:row r="32">
      <x:c r="A32" s="299" t="s">
        <x:v>103</x:v>
      </x:c>
      <x:c r="B32" s="275" t="n">
        <x:f t="shared" ref="B32:L32" si="12">B29+B30+B31</x:f>
        <x:v>-23490000</x:v>
      </x:c>
      <x:c r="C32" s="275">
        <x:f t="shared" si="12"/>
        <x:v>1776378.75</x:v>
      </x:c>
      <x:c r="D32" s="275">
        <x:f t="shared" si="12"/>
        <x:v>1859481.3968750001</x:v>
      </x:c>
      <x:c r="E32" s="275">
        <x:f t="shared" si="12"/>
        <x:v>1943164.2768359375</x:v>
      </x:c>
      <x:c r="F32" s="275">
        <x:f t="shared" si="12"/>
        <x:v>2027434.6427963865</x:v>
      </x:c>
      <x:c r="G32" s="275">
        <x:f t="shared" si="12"/>
        <x:v>2028741.8383313408</x:v>
      </x:c>
      <x:c r="H32" s="275">
        <x:f t="shared" si="12"/>
        <x:v>2118285.2988104834</x:v>
      </x:c>
      <x:c r="I32" s="275">
        <x:f t="shared" si="12"/>
        <x:v>2208438.5525456141</x:v>
      </x:c>
      <x:c r="J32" s="275">
        <x:f t="shared" si="12"/>
        <x:v>2299209.2219524346</x:v>
      </x:c>
      <x:c r="K32" s="275">
        <x:f t="shared" si="12"/>
        <x:v>2390605.0247268393</x:v>
      </x:c>
      <x:c r="L32" s="275">
        <x:f t="shared" si="12"/>
        <x:v>2419455.7750359252</x:v>
      </x:c>
      <x:c r="M32" s="275" t="n">
        <x:f t="shared" ref="M32:V32" si="13">M29+M30+M31</x:f>
        <x:v>2634405.384723874</x:v>
      </x:c>
      <x:c r="N32" s="275">
        <x:f t="shared" si="13"/>
        <x:v>2613595.8645329224</x:v>
      </x:c>
      <x:c r="O32" s="275">
        <x:f t="shared" si="13"/>
        <x:v>2711647.3253395837</x:v>
      </x:c>
      <x:c r="P32" s="275">
        <x:f t="shared" si="13"/>
        <x:v>2810363.9794063289</x:v>
      </x:c>
      <x:c r="Q32" s="275">
        <x:f t="shared" si="13"/>
        <x:v>2909754.1416489081</x:v>
      </x:c>
      <x:c r="R32" s="275">
        <x:f t="shared" si="13"/>
        <x:v>3009826.2309195185</x:v>
      </x:c>
      <x:c r="S32" s="275">
        <x:f t="shared" si="13"/>
        <x:v>3110588.7713060128</x:v>
      </x:c>
      <x:c r="T32" s="275">
        <x:f t="shared" si="13"/>
        <x:v>3212050.3934473386</x:v>
      </x:c>
      <x:c r="U32" s="275">
        <x:f t="shared" si="13"/>
        <x:v>3314219.8358654287</x:v>
      </x:c>
      <x:c r="V32" s="275">
        <x:f t="shared" si="13"/>
        <x:v>26279832.107908841</x:v>
      </x:c>
    </x:row>
    <x:row r="33">
      <x:c r="A33" s="299"/>
      <x:c r="B33" s="275"/>
      <x:c r="C33" s="275"/>
      <x:c r="D33" s="275"/>
      <x:c r="E33" s="275"/>
      <x:c r="F33" s="275"/>
      <x:c r="G33" s="275"/>
      <x:c r="H33" s="275"/>
      <x:c r="I33" s="275"/>
      <x:c r="J33" s="275"/>
      <x:c r="K33" s="275"/>
      <x:c r="L33" s="275"/>
      <x:c r="M33" s="275"/>
      <x:c r="N33" s="275"/>
      <x:c r="O33" s="275"/>
      <x:c r="P33" s="275"/>
      <x:c r="Q33" s="275"/>
      <x:c r="R33" s="275"/>
      <x:c r="S33" s="275"/>
      <x:c r="T33" s="275"/>
      <x:c r="U33" s="275"/>
      <x:c r="V33" s="275"/>
    </x:row>
    <x:row r="34">
      <x:c r="A34" s="299" t="s">
        <x:v>104</x:v>
      </x:c>
      <x:c r="B34" s="275" t="n">
        <x:f>B29</x:f>
        <x:v>-23490000</x:v>
      </x:c>
      <x:c r="C34" s="275" t="n">
        <x:f t="shared" ref="C34:L34" si="14">B34+C29</x:f>
        <x:v>-21490466.25</x:v>
      </x:c>
      <x:c r="D34" s="275" t="n">
        <x:f t="shared" si="14">C34+D29</x:f>
        <x:v>-19407829.853125</x:v>
      </x:c>
      <x:c r="E34" s="275" t="n">
        <x:f t="shared" si="14">D34+E29</x:f>
        <x:v>-17241510.57628906</x:v>
      </x:c>
      <x:c r="F34" s="275" t="n">
        <x:f t="shared" si="14">E34+F29</x:f>
        <x:v>-14990920.933492675</x:v>
      </x:c>
      <x:c r="G34" s="275" t="n">
        <x:f t="shared" si="14">F34+G29</x:f>
        <x:v>-12739024.095161334</x:v>
      </x:c>
      <x:c r="H34" s="275" t="n">
        <x:f t="shared" si="14">G34+H29</x:f>
        <x:v>-10397583.79635085</x:v>
      </x:c>
      <x:c r="I34" s="275" t="n">
        <x:f t="shared" si="14">H34+I29</x:f>
        <x:v>-7965990.243805235</x:v>
      </x:c>
      <x:c r="J34" s="275" t="n">
        <x:f t="shared" si="14">I34+J29</x:f>
        <x:v>-5443626.021852801</x:v>
      </x:c>
      <x:c r="K34" s="275" t="n">
        <x:f t="shared" si="14">J34+K29</x:f>
        <x:v>-2829865.9971259614</x:v>
      </x:c>
      <x:c r="L34" s="275" t="n">
        <x:f t="shared" si="14">K34+L29</x:f>
        <x:v>-187255.22209003614</x:v>
      </x:c>
      <x:c r="M34" s="275" t="n">
        <x:f t="shared" ref="M34:V34" si="15">L34+M29</x:f>
        <x:v>2670305.1626338377</x:v>
      </x:c>
      <x:c r="N34" s="275" t="n">
        <x:f t="shared" si="15">M34+N29</x:f>
        <x:v>5507056.02716676</x:v>
      </x:c>
      <x:c r="O34" s="275" t="n">
        <x:f t="shared" si="15">N34+O29</x:f>
        <x:v>8441858.352506343</x:v>
      </x:c>
      <x:c r="P34" s="275" t="n">
        <x:f t="shared" si="15">O34+P29</x:f>
        <x:v>11475377.331912672</x:v>
      </x:c>
      <x:c r="Q34" s="275" t="n">
        <x:f t="shared" si="15">P34+Q29</x:f>
        <x:v>14608286.473561581</x:v>
      </x:c>
      <x:c r="R34" s="275" t="n">
        <x:f t="shared" si="15">Q34+R29</x:f>
        <x:v>17841267.7044811</x:v>
      </x:c>
      <x:c r="S34" s="275" t="n">
        <x:f t="shared" si="15">R34+S29</x:f>
        <x:v>21175011.47578711</x:v>
      </x:c>
      <x:c r="T34" s="275" t="n">
        <x:f t="shared" si="15">S34+T29</x:f>
        <x:v>24610216.86923445</x:v>
      </x:c>
      <x:c r="U34" s="275" t="n">
        <x:f t="shared" si="15">T34+U29</x:f>
        <x:v>28147591.70509988</x:v>
      </x:c>
      <x:c r="V34" s="275" t="n">
        <x:f t="shared" si="15">U34+V29</x:f>
        <x:v>61729011.89546891</x:v>
      </x:c>
    </x:row>
    <x:row r="35">
      <x:c r="A35" s="299" t="s">
        <x:v>105</x:v>
      </x:c>
      <x:c r="B35" s="275" t="n">
        <x:f>B32</x:f>
        <x:v>-23490000</x:v>
      </x:c>
      <x:c r="C35" s="275" t="n">
        <x:f t="shared" ref="C35:L35" si="16">B35+C32</x:f>
        <x:v>-21713621.25</x:v>
      </x:c>
      <x:c r="D35" s="275" t="n">
        <x:f t="shared" si="16">C35+D32</x:f>
        <x:v>-19854139.853125</x:v>
      </x:c>
      <x:c r="E35" s="275" t="n">
        <x:f t="shared" si="16">D35+E32</x:f>
        <x:v>-17910975.57628906</x:v>
      </x:c>
      <x:c r="F35" s="275" t="n">
        <x:f t="shared" si="16">E35+F32</x:f>
        <x:v>-15883540.933492675</x:v>
      </x:c>
      <x:c r="G35" s="275" t="n">
        <x:f t="shared" si="16">F35+G32</x:f>
        <x:v>-13854799.095161334</x:v>
      </x:c>
      <x:c r="H35" s="275" t="n">
        <x:f t="shared" si="16">G35+H32</x:f>
        <x:v>-11736513.79635085</x:v>
      </x:c>
      <x:c r="I35" s="275" t="n">
        <x:f t="shared" si="16">H35+I32</x:f>
        <x:v>-9528075.243805235</x:v>
      </x:c>
      <x:c r="J35" s="275" t="n">
        <x:f t="shared" si="16">I35+J32</x:f>
        <x:v>-7228866.021852801</x:v>
      </x:c>
      <x:c r="K35" s="275" t="n">
        <x:f t="shared" si="16">J35+K32</x:f>
        <x:v>-4838260.997125961</x:v>
      </x:c>
      <x:c r="L35" s="275" t="n">
        <x:f t="shared" si="16">K35+L32</x:f>
        <x:v>-2418805.2220900357</x:v>
      </x:c>
      <x:c r="M35" s="275" t="n">
        <x:f t="shared" ref="M35:V35" si="17">L35+M32</x:f>
        <x:v>215600.16263383813</x:v>
      </x:c>
      <x:c r="N35" s="275" t="n">
        <x:f t="shared" si="17">M35+N32</x:f>
        <x:v>2829196.0271667605</x:v>
      </x:c>
      <x:c r="O35" s="275" t="n">
        <x:f t="shared" si="17">N35+O32</x:f>
        <x:v>5540843.352506344</x:v>
      </x:c>
      <x:c r="P35" s="275" t="n">
        <x:f t="shared" si="17">O35+P32</x:f>
        <x:v>8351207.331912673</x:v>
      </x:c>
      <x:c r="Q35" s="275" t="n">
        <x:f t="shared" si="17">P35+Q32</x:f>
        <x:v>11260961.473561581</x:v>
      </x:c>
      <x:c r="R35" s="275" t="n">
        <x:f t="shared" si="17">Q35+R32</x:f>
        <x:v>14270787.704481099</x:v>
      </x:c>
      <x:c r="S35" s="275" t="n">
        <x:f t="shared" si="17">R35+S32</x:f>
        <x:v>17381376.47578711</x:v>
      </x:c>
      <x:c r="T35" s="275" t="n">
        <x:f t="shared" si="17">S35+T32</x:f>
        <x:v>20593426.86923445</x:v>
      </x:c>
      <x:c r="U35" s="275" t="n">
        <x:f t="shared" si="17">T35+U32</x:f>
        <x:v>23907646.70509988</x:v>
      </x:c>
      <x:c r="V35" s="275" t="n">
        <x:f t="shared" si="17">U35+V32</x:f>
        <x:v>50187478.813008726</x:v>
      </x:c>
    </x:row>
    <x:row r="36">
      <x:c r="A36" s="299"/>
      <x:c r="B36" s="301"/>
      <x:c r="C36" s="301"/>
      <x:c r="D36" s="301"/>
      <x:c r="E36" s="301"/>
      <x:c r="F36" s="301"/>
      <x:c r="G36" s="301"/>
      <x:c r="H36" s="301"/>
      <x:c r="I36" s="301"/>
      <x:c r="J36" s="301"/>
      <x:c r="K36" s="301"/>
      <x:c r="L36" s="301"/>
      <x:c r="M36" s="301"/>
      <x:c r="N36" s="301"/>
      <x:c r="O36" s="301"/>
      <x:c r="P36" s="301"/>
      <x:c r="Q36" s="301"/>
      <x:c r="R36" s="301"/>
      <x:c r="S36" s="301"/>
      <x:c r="T36" s="301"/>
      <x:c r="U36" s="301"/>
      <x:c r="V36" s="301"/>
    </x:row>
    <x:row r="37">
      <x:c r="A37" s="300" t="s">
        <x:v>106</x:v>
      </x:c>
      <x:c r="B37" s="303"/>
      <x:c r="C37" s="303"/>
      <x:c r="D37" s="303"/>
      <x:c r="E37" s="303"/>
      <x:c r="F37" s="303"/>
      <x:c r="G37" s="303"/>
      <x:c r="H37" s="303"/>
      <x:c r="I37" s="303"/>
      <x:c r="J37" s="303"/>
      <x:c r="K37" s="303"/>
      <x:c r="L37" s="303"/>
      <x:c r="M37" s="303"/>
      <x:c r="N37" s="303"/>
      <x:c r="O37" s="303"/>
      <x:c r="P37" s="303"/>
      <x:c r="Q37" s="303"/>
      <x:c r="R37" s="303"/>
      <x:c r="S37" s="303"/>
      <x:c r="T37" s="303"/>
      <x:c r="U37" s="303"/>
      <x:c r="V37" s="303"/>
    </x:row>
    <x:row r="38">
      <x:c r="A38" s="299" t="s">
        <x:v>107</x:v>
      </x:c>
      <x:c r="B38" s="301" t="n">
        <x:f t="shared" ref="B38:L38" si="18">B19+B20-B21-B22</x:f>
        <x:v>0</x:v>
      </x:c>
      <x:c r="C38" s="301">
        <x:f t="shared" si="18"/>
        <x:v>0</x:v>
      </x:c>
      <x:c r="D38" s="301">
        <x:f t="shared" si="18"/>
        <x:v>0</x:v>
      </x:c>
      <x:c r="E38" s="301">
        <x:f t="shared" si="18"/>
        <x:v>0</x:v>
      </x:c>
      <x:c r="F38" s="301">
        <x:f t="shared" si="18"/>
        <x:v>0</x:v>
      </x:c>
      <x:c r="G38" s="301">
        <x:f t="shared" si="18"/>
        <x:v>0</x:v>
      </x:c>
      <x:c r="H38" s="301">
        <x:f t="shared" si="18"/>
        <x:v>0</x:v>
      </x:c>
      <x:c r="I38" s="301">
        <x:f t="shared" si="18"/>
        <x:v>0</x:v>
      </x:c>
      <x:c r="J38" s="301">
        <x:f t="shared" si="18"/>
        <x:v>0</x:v>
      </x:c>
      <x:c r="K38" s="301">
        <x:f t="shared" si="18"/>
        <x:v>0</x:v>
      </x:c>
      <x:c r="L38" s="301">
        <x:f t="shared" si="18"/>
        <x:v>0</x:v>
      </x:c>
      <x:c r="M38" s="301" t="n">
        <x:f t="shared" ref="M38:V38" si="19">M19+M20-M21-M22</x:f>
        <x:v>0</x:v>
      </x:c>
      <x:c r="N38" s="301">
        <x:f t="shared" si="19"/>
        <x:v>0</x:v>
      </x:c>
      <x:c r="O38" s="301">
        <x:f t="shared" si="19"/>
        <x:v>0</x:v>
      </x:c>
      <x:c r="P38" s="301">
        <x:f t="shared" si="19"/>
        <x:v>0</x:v>
      </x:c>
      <x:c r="Q38" s="301">
        <x:f t="shared" si="19"/>
        <x:v>0</x:v>
      </x:c>
      <x:c r="R38" s="301">
        <x:f t="shared" si="19"/>
        <x:v>0</x:v>
      </x:c>
      <x:c r="S38" s="301">
        <x:f t="shared" si="19"/>
        <x:v>0</x:v>
      </x:c>
      <x:c r="T38" s="301">
        <x:f t="shared" si="19"/>
        <x:v>0</x:v>
      </x:c>
      <x:c r="U38" s="301">
        <x:f t="shared" si="19"/>
        <x:v>0</x:v>
      </x:c>
      <x:c r="V38" s="301">
        <x:f t="shared" si="19"/>
        <x:v>0</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4.25"/>
  <x:cols>
    <x:col min="1" max="1" width="32" hidden="0" customWidth="1"/>
    <x:col min="2" max="2" width="48" hidden="0" customWidth="1"/>
    <x:col min="3" max="3" width="20" hidden="0" customWidth="1"/>
    <x:col min="5" max="5" width="30" hidden="0" customWidth="1"/>
    <x:col min="6" max="6" width="18" hidden="0" customWidth="1"/>
    <x:col min="7" max="7" width="18" hidden="0" customWidth="1"/>
    <x:col min="8" max="8" width="18" hidden="0" customWidth="1"/>
    <x:col min="4" max="4" width="3" hidden="0" customWidth="1"/>
  </x:cols>
  <x:sheetData>
    <x:row r="1" ht="26" customHeight="1">
      <x:c r="A1" s="229" t="s">
        <x:v>108</x:v>
      </x:c>
      <x:c r="B1" s="229"/>
      <x:c r="C1" s="229"/>
      <x:c r="D1" s="229"/>
      <x:c r="E1" s="229"/>
      <x:c r="F1" s="229"/>
      <x:c r="G1" s="229"/>
      <x:c r="H1" s="229"/>
    </x:row>
    <x:row r="2" ht="20" customHeight="1">
      <x:c r="A2" s="114" t="s">
        <x:v>109</x:v>
      </x:c>
      <x:c r="B2" s="114"/>
      <x:c r="C2" s="114"/>
      <x:c r="D2" s="114"/>
      <x:c r="E2" s="114"/>
      <x:c r="F2" s="114"/>
      <x:c r="G2" s="114"/>
      <x:c r="H2" s="114"/>
    </x:row>
    <x:row r="3">
      <x:c r="A3" s="217"/>
      <x:c r="B3" s="217"/>
      <x:c r="C3" s="217"/>
      <x:c r="D3" s="217"/>
      <x:c r="E3" s="217"/>
      <x:c r="F3" s="217"/>
      <x:c r="G3" s="217"/>
      <x:c r="H3" s="217"/>
    </x:row>
    <x:row r="4" ht="14.25" hidden="0" customHeight="1">
      <x:c r="A4" s="158" t="s">
        <x:v>110</x:v>
      </x:c>
      <x:c r="B4" s="318" t="s">
        <x:v>111</x:v>
      </x:c>
      <x:c r="C4" s="158" t="s">
        <x:v>2</x:v>
      </x:c>
      <x:c r="D4" s="217"/>
      <x:c r="E4" s="217" t="s">
        <x:v>112</x:v>
      </x:c>
      <x:c r="F4" s="217"/>
      <x:c r="G4" s="217"/>
      <x:c r="H4" s="217"/>
    </x:row>
    <x:row r="5" ht="14.25" hidden="0" customHeight="1">
      <x:c r="A5" s="217"/>
      <x:c r="B5" s="266"/>
      <x:c r="C5" s="217"/>
      <x:c r="D5" s="217"/>
      <x:c r="E5" s="158" t="s">
        <x:v>113</x:v>
      </x:c>
      <x:c r="F5" s="158" t="s">
        <x:v>114</x:v>
      </x:c>
      <x:c r="G5" s="318" t="s">
        <x:v>115</x:v>
      </x:c>
      <x:c r="H5" s="217"/>
    </x:row>
    <x:row r="6" ht="36" hidden="0" customHeight="1">
      <x:c r="A6" s="217" t="s">
        <x:v>116</x:v>
      </x:c>
      <x:c r="B6" s="266" t="str">
        <x:v>Final gross cumulative cash flow</x:v>
      </x:c>
      <x:c r="C6" s="306" t="n">
        <x:f>'Asset_Model'!V34</x:f>
        <x:v>61729011.89546891</x:v>
      </x:c>
      <x:c r="D6" s="217"/>
      <x:c r="E6" s="217" t="s">
        <x:v>117</x:v>
      </x:c>
      <x:c r="F6" s="225" t="n">
        <x:f>Inputs!C16</x:f>
        <x:v>0.0125</x:v>
      </x:c>
      <x:c r="G6" s="266" t="s">
        <x:v>118</x:v>
      </x:c>
      <x:c r="H6" s="217"/>
    </x:row>
    <x:row r="7" ht="36" hidden="0" customHeight="1">
      <x:c r="A7" s="217" t="s">
        <x:v>119</x:v>
      </x:c>
      <x:c r="B7" s="266" t="str">
        <x:v>Final net cumulative cash flow</x:v>
      </x:c>
      <x:c r="C7" s="306" t="n">
        <x:f>'Asset_Model'!V35</x:f>
        <x:v>50187478.813008726</x:v>
      </x:c>
      <x:c r="D7" s="217"/>
      <x:c r="E7" s="217" t="s">
        <x:v>120</x:v>
      </x:c>
      <x:c r="F7" s="225" t="n">
        <x:f>Inputs!C17</x:f>
        <x:v>0.775</x:v>
      </x:c>
      <x:c r="G7" s="266" t="s">
        <x:v>121</x:v>
      </x:c>
      <x:c r="H7" s="217"/>
    </x:row>
    <x:row r="8" ht="24" hidden="0" customHeight="1">
      <x:c r="A8" s="217" t="s">
        <x:v>122</x:v>
      </x:c>
      <x:c r="B8" s="266" t="s">
        <x:v>123</x:v>
      </x:c>
      <x:c r="C8" s="306" t="n">
        <x:f>SUMIF(Asset_Model!B29:V29,"&gt;0",Asset_Model!B29:V29)</x:f>
        <x:v>85219011.89546892</x:v>
      </x:c>
      <x:c r="D8" s="217"/>
      <x:c r="E8" s="217" t="s">
        <x:v>124</x:v>
      </x:c>
      <x:c r="F8" s="307" t="n">
        <x:f>Inputs!C35</x:f>
        <x:v>7</x:v>
      </x:c>
      <x:c r="G8" s="266" t="s">
        <x:v>125</x:v>
      </x:c>
      <x:c r="H8" s="217"/>
    </x:row>
    <x:row r="9" ht="36" hidden="0" customHeight="1">
      <x:c r="A9" s="217" t="s">
        <x:v>126</x:v>
      </x:c>
      <x:c r="B9" s="266" t="s">
        <x:v>127</x:v>
      </x:c>
      <x:c r="C9" s="308" t="n">
        <x:f>IF(OR(Inputs!$C$10&lt;1,COUNTIF(Asset_Model!B29:V29,"&gt;0")=0),"",IRR(Asset_Model!B29:V29))</x:f>
        <x:v>0.11027293012740177</x:v>
      </x:c>
      <x:c r="D9" s="217"/>
      <x:c r="E9" s="217" t="s">
        <x:v>128</x:v>
      </x:c>
      <x:c r="F9" s="225" t="n">
        <x:f>Inputs!C25</x:f>
        <x:v>0.46455436516981996</x:v>
      </x:c>
      <x:c r="G9" s="266" t="s">
        <x:v>129</x:v>
      </x:c>
      <x:c r="H9" s="217"/>
    </x:row>
    <x:row r="10" ht="48" hidden="0" customHeight="1">
      <x:c r="A10" s="217" t="s">
        <x:v>130</x:v>
      </x:c>
      <x:c r="B10" s="266" t="s">
        <x:v>131</x:v>
      </x:c>
      <x:c r="C10" s="308" t="n">
        <x:f>IF(OR(Inputs!$C$10&lt;1,COUNTIF(Asset_Model!B32:V32,"&gt;0")=0),"",IRR(Asset_Model!B32:V32))</x:f>
        <x:v>0.09718346709082003</x:v>
      </x:c>
      <x:c r="D10" s="217"/>
      <x:c r="E10" s="217" t="str">
        <x:v>WACC</x:v>
      </x:c>
      <x:c r="F10" s="225" t="n">
        <x:f>'Inputs'!C59</x:f>
        <x:v>0.0637405972190563</x:v>
      </x:c>
      <x:c r="G10" s="266" t="str">
        <x:v>Enterprise discount rate based on capital mix, cost of equity and after-tax debt</x:v>
      </x:c>
      <x:c r="H10" s="217"/>
    </x:row>
    <x:row r="11" ht="14.25" hidden="0" customHeight="1">
      <x:c r="A11" s="217" t="s">
        <x:v>132</x:v>
      </x:c>
      <x:c r="B11" s="266" t="str">
        <x:v>Net equity NPV at cost of equity</x:v>
      </x:c>
      <x:c r="C11" s="306" t="n">
        <x:f>Asset_Model!B32+NPV(Inputs!$C$33,Asset_Model!C32:V32)</x:f>
        <x:v>4312938.389235724</x:v>
      </x:c>
      <x:c r="D11" s="217"/>
      <x:c r="E11" s="217"/>
      <x:c r="F11" s="217"/>
      <x:c r="G11" s="217"/>
      <x:c r="H11" s="217"/>
    </x:row>
    <x:row r="12" ht="14.25" hidden="0" customHeight="1">
      <x:c r="A12" s="217" t="s">
        <x:v>133</x:v>
      </x:c>
      <x:c r="B12" s="266" t="s">
        <x:v>134</x:v>
      </x:c>
      <x:c r="C12" s="306" t="n" cm="1">
        <x:f t="array" ref="C12">SUMPRODUCT('Asset_Model'!C17:V17,1/(1+'Inputs'!$C$59)^('Asset_Model'!C4:V4),--('Asset_Model'!C4:V4&lt;='Inputs'!$C$10))+C13/(1+'Inputs'!$C$59)^'Inputs'!$C$10</x:f>
        <x:v>71152101.83795656</x:v>
      </x:c>
      <x:c r="D12" s="217"/>
      <x:c r="E12" s="117" t="str">
        <x:v>ENTERPRISE DCF SENSITIVITY</x:v>
      </x:c>
      <x:c r="F12" s="117"/>
      <x:c r="G12" s="117"/>
      <x:c r="H12" s="117"/>
    </x:row>
    <x:row r="13" ht="14.25" hidden="0" customHeight="1">
      <x:c r="A13" s="217" t="s">
        <x:v>135</x:v>
      </x:c>
      <x:c r="B13" s="266" t="s">
        <x:v>136</x:v>
      </x:c>
      <x:c r="C13" s="306" t="n" cm="1">
        <x:f t="array" ref="C13">INDEX('Asset_Model'!B17:V17,1,'Inputs'!$C$10+1)*(1+'Inputs'!$C$34)/('Inputs'!$C$59-'Inputs'!$C$34)</x:f>
        <x:v>88370427.2287631</x:v>
      </x:c>
      <x:c r="D13" s="217"/>
      <x:c r="E13" s="316" t="str">
        <x:v>Terminal Growth / WACC</x:v>
      </x:c>
      <x:c r="F13" s="317" t="n">
        <x:f>'Inputs'!$C$59-'Inputs'!$C$60</x:f>
        <x:v>0.053740597219056295</x:v>
      </x:c>
      <x:c r="G13" s="317" t="n">
        <x:f>'Inputs'!$C$59</x:f>
        <x:v>0.0637405972190563</x:v>
      </x:c>
      <x:c r="H13" s="317" t="n">
        <x:f>'Inputs'!$C$59+'Inputs'!$C$60</x:f>
        <x:v>0.07374059721905629</x:v>
      </x:c>
    </x:row>
    <x:row r="14" ht="14.25" hidden="0" customHeight="1">
      <x:c r="A14" s="217" t="s">
        <x:v>137</x:v>
      </x:c>
      <x:c r="B14" s="266" t="s">
        <x:v>138</x:v>
      </x:c>
      <x:c r="C14" s="306" t="n" cm="1">
        <x:f t="array" ref="C14">SUMPRODUCT('Asset_Model'!C17:V17,1/(1+'Inputs'!$C$59)^('Asset_Model'!C4:V4),--('Asset_Model'!C4:V4&lt;='Inputs'!$C$10))+INDEX('Asset_Model'!B25:V25,1,'Inputs'!$C$10+1)/(1+'Inputs'!$C$59)^'Inputs'!$C$10</x:f>
        <x:v>55357416.56232562</x:v>
      </x:c>
      <x:c r="D14" s="217"/>
      <x:c r="E14" s="225">
        <x:v>0.01</x:v>
      </x:c>
      <x:c r="F14" s="310" t="n" cm="1">
        <x:f t="array" ref="F14">SUMPRODUCT(Asset_Model!$C$17:$V$17,1/(1+F$13)^(Asset_Model!$C$4:$V$4),--(Asset_Model!$C$4:$V$4&lt;=Inputs!$C$10))+(INDEX(Asset_Model!$B$17:$V$17,1,Inputs!$C$10+1)*(1+$E14)/(F$13-$E14))/(1+F$13)^Inputs!$C$10</x:f>
        <x:v>87634230.06570973</x:v>
      </x:c>
      <x:c r="G14" s="310" t="n" cm="1">
        <x:f t="array" ref="G14">SUMPRODUCT(Asset_Model!$C$17:$V$17,1/(1+G$13)^(Asset_Model!$C$4:$V$4),--(Asset_Model!$C$4:$V$4&lt;=Inputs!$C$10))+(INDEX(Asset_Model!$B$17:$V$17,1,Inputs!$C$10+1)*(1+$E14)/(G$13-$E14))/(1+G$13)^Inputs!$C$10</x:f>
        <x:v>71152101.83795656</x:v>
      </x:c>
      <x:c r="H14" s="310" t="n" cm="1">
        <x:f t="array" ref="H14">SUMPRODUCT(Asset_Model!$C$17:$V$17,1/(1+H$13)^(Asset_Model!$C$4:$V$4),--(Asset_Model!$C$4:$V$4&lt;=Inputs!$C$10))+(INDEX(Asset_Model!$B$17:$V$17,1,Inputs!$C$10+1)*(1+$E14)/(H$13-$E14))/(1+H$13)^Inputs!$C$10</x:f>
        <x:v>59858481.851798534</x:v>
      </x:c>
    </x:row>
    <x:row r="15" ht="14.25" hidden="0" customHeight="1">
      <x:c r="A15" s="217" t="s">
        <x:v>139</x:v>
      </x:c>
      <x:c r="B15" s="266" t="s">
        <x:v>140</x:v>
      </x:c>
      <x:c r="C15" s="306" t="n">
        <x:f>C12*'Inputs'!$C$36+C14*'Inputs'!$C$37</x:f>
        <x:v>55357416.56232562</x:v>
      </x:c>
      <x:c r="D15" s="217"/>
      <x:c r="E15" s="225">
        <x:v>0.02</x:v>
      </x:c>
      <x:c r="F15" s="310" t="n" cm="1">
        <x:f t="array" ref="F15">SUMPRODUCT(Asset_Model!$C$17:$V$17,1/(1+F$13)^(Asset_Model!$C$4:$V$4),--(Asset_Model!$C$4:$V$4&lt;=Inputs!$C$10))+(INDEX(Asset_Model!$B$17:$V$17,1,Inputs!$C$10+1)*(1+$E15)/(F$13-$E15))/(1+F$13)^Inputs!$C$10</x:f>
        <x:v>99418700.22343501</x:v>
      </x:c>
      <x:c r="G15" s="310" t="n" cm="1">
        <x:f t="array" ref="G15">SUMPRODUCT(Asset_Model!$C$17:$V$17,1/(1+G$13)^(Asset_Model!$C$4:$V$4),--(Asset_Model!$C$4:$V$4&lt;=Inputs!$C$10))+(INDEX(Asset_Model!$B$17:$V$17,1,Inputs!$C$10+1)*(1+$E15)/(G$13-$E15))/(1+G$13)^Inputs!$C$10</x:f>
        <x:v>77335424.67585622</x:v>
      </x:c>
      <x:c r="H15" s="310" t="n" cm="1">
        <x:f t="array" ref="H15">SUMPRODUCT(Asset_Model!$C$17:$V$17,1/(1+H$13)^(Asset_Model!$C$4:$V$4),--(Asset_Model!$C$4:$V$4&lt;=Inputs!$C$10))+(INDEX(Asset_Model!$B$17:$V$17,1,Inputs!$C$10+1)*(1+$E15)/(H$13-$E15))/(1+H$13)^Inputs!$C$10</x:f>
        <x:v>63410550.51045419</x:v>
      </x:c>
    </x:row>
    <x:row r="16" ht="14.25" hidden="0" customHeight="1">
      <x:c r="A16" s="217" t="s">
        <x:v>141</x:v>
      </x:c>
      <x:c r="B16" s="266" t="s">
        <x:v>142</x:v>
      </x:c>
      <x:c r="C16" s="306" t="n">
        <x:f>C15-'Asset_Model'!B22</x:f>
        <x:v>34977416.56232562</x:v>
      </x:c>
      <x:c r="D16" s="217"/>
      <x:c r="E16" s="225">
        <x:v>0.03</x:v>
      </x:c>
      <x:c r="F16" s="310" t="n" cm="1">
        <x:f t="array" ref="F16">SUMPRODUCT(Asset_Model!$C$17:$V$17,1/(1+F$13)^(Asset_Model!$C$4:$V$4),--(Asset_Model!$C$4:$V$4&lt;=Inputs!$C$10))+(INDEX(Asset_Model!$B$17:$V$17,1,Inputs!$C$10+1)*(1+$E16)/(F$13-$E16))/(1+F$13)^Inputs!$C$10</x:f>
        <x:v>121130865.16405821</x:v>
      </x:c>
      <x:c r="G16" s="310" t="n" cm="1">
        <x:f t="array" ref="G16">SUMPRODUCT(Asset_Model!$C$17:$V$17,1/(1+G$13)^(Asset_Model!$C$4:$V$4),--(Asset_Model!$C$4:$V$4&lt;=Inputs!$C$10))+(INDEX(Asset_Model!$B$17:$V$17,1,Inputs!$C$10+1)*(1+$E16)/(G$13-$E16))/(1+G$13)^Inputs!$C$10</x:f>
        <x:v>87183959.95665082</x:v>
      </x:c>
      <x:c r="H16" s="310" t="n" cm="1">
        <x:f t="array" ref="H16">SUMPRODUCT(Asset_Model!$C$17:$V$17,1/(1+H$13)^(Asset_Model!$C$4:$V$4),--(Asset_Model!$C$4:$V$4&lt;=Inputs!$C$10))+(INDEX(Asset_Model!$B$17:$V$17,1,Inputs!$C$10+1)*(1+$E16)/(H$13-$E16))/(1+H$13)^Inputs!$C$10</x:f>
        <x:v>68586771.04836589</x:v>
      </x:c>
    </x:row>
    <x:row r="17" ht="14.25" hidden="0" customHeight="1">
      <x:c r="A17" s="217" t="s">
        <x:v>143</x:v>
      </x:c>
      <x:c r="B17" s="266" t="s">
        <x:v>144</x:v>
      </x:c>
      <x:c r="C17" s="311" t="n">
        <x:f>C8/ABS(Asset_Model!B29)</x:f>
        <x:v>3.627884712450784</x:v>
      </x:c>
      <x:c r="D17" s="217"/>
      <x:c r="E17" s="217"/>
      <x:c r="F17" s="217"/>
      <x:c r="G17" s="217"/>
      <x:c r="H17" s="217"/>
    </x:row>
    <x:row r="18" ht="14.25" hidden="0" customHeight="1">
      <x:c r="A18" s="217" t="s">
        <x:v>145</x:v>
      </x:c>
      <x:c r="B18" s="266" t="s">
        <x:v>146</x:v>
      </x:c>
      <x:c r="C18" s="311" t="n">
        <x:f>SUMIF(Asset_Model!B32:V32,"&gt;0",Asset_Model!B32:V32)/ABS(Asset_Model!B32)</x:f>
        <x:v>3.1365465650493283</x:v>
      </x:c>
      <x:c r="D18" s="217"/>
      <x:c r="E18" s="217"/>
      <x:c r="F18" s="217"/>
      <x:c r="G18" s="217"/>
      <x:c r="H18" s="217"/>
    </x:row>
    <x:row r="19" ht="14.25" hidden="0" customHeight="1">
      <x:c r="A19" s="217" t="s">
        <x:v>147</x:v>
      </x:c>
      <x:c r="B19" s="266" t="s">
        <x:v>148</x:v>
      </x:c>
      <x:c r="C19" s="306" t="n">
        <x:f>ABS(Asset_Model!B29)</x:f>
        <x:v>23490000</x:v>
      </x:c>
      <x:c r="D19" s="217"/>
      <x:c r="E19" s="217"/>
      <x:c r="F19" s="217"/>
      <x:c r="G19" s="217"/>
      <x:c r="H19" s="217"/>
    </x:row>
    <x:row r="21">
      <x:c r="A21"/>
      <x:c r="B21"/>
      <x:c r="C21"/>
    </x:row>
    <x:row r="22">
      <x:c r="A22"/>
      <x:c r="B22"/>
      <x:c r="C22"/>
    </x:row>
    <x:row r="23">
      <x:c r="A23"/>
      <x:c r="B23"/>
      <x:c r="C23" cm="1">
        <x:f t="array" ref="C23"/>
      </x:c>
    </x:row>
    <x:row r="24">
      <x:c r="A24"/>
      <x:c r="B24"/>
      <x:c r="C24"/>
    </x:row>
    <x:row r="25">
      <x:c r="A25"/>
      <x:c r="B25"/>
      <x:c r="C25"/>
    </x:row>
    <x:row r="26">
      <x:c r="A26"/>
      <x:c r="B26"/>
      <x:c r="C26" cm="1">
        <x:f t="array" ref="C26"/>
      </x:c>
    </x:row>
    <x:row r="27">
      <x:c r="A27"/>
      <x:c r="B27"/>
      <x:c r="C27"/>
    </x:row>
    <x:row r="28">
      <x:c r="A28"/>
      <x:c r="B28"/>
      <x:c r="C28"/>
    </x:row>
    <x:row r="29">
      <x:c r="A29"/>
      <x:c r="B29"/>
      <x:c r="C29"/>
    </x:row>
    <x:row r="30">
      <x:c r="A30"/>
      <x:c r="B30"/>
      <x:c r="C30"/>
    </x:row>
    <x:row r="31">
      <x:c r="A31"/>
      <x:c r="B31"/>
      <x:c r="C31"/>
    </x:row>
  </x:sheetData>
  <x:mergeCells>
    <x:mergeCell ref="A1:H1"/>
    <x:mergeCell ref="A2:H2"/>
  </x:mergeCells>
  <x:pageMargins left="0.7" right="0.7" top="0.75" bottom="0.75" header="0.3" footer="0.3"/>
  <x:legacyDrawing xmlns:r="http://schemas.openxmlformats.org/officeDocument/2006/relationships" r:id="R45db89048f8a4061"/>
</x:worksheet>
</file>

<file path=xl/worksheets/sheet5.xml><?xml version="1.0" encoding="utf-8"?>
<x:worksheet xmlns:x="http://schemas.openxmlformats.org/spreadsheetml/2006/main">
  <x:sheetViews>
    <x:sheetView showGridLines="0" workbookViewId="0"/>
  </x:sheetViews>
  <x:sheetFormatPr defaultRowHeight="14.25"/>
  <x:cols>
    <x:col min="1" max="1" width="34" hidden="0" customWidth="1"/>
    <x:col min="2" max="2" width="16" hidden="0" customWidth="1"/>
    <x:col min="3" max="3" width="16" hidden="0" customWidth="1"/>
    <x:col min="4" max="4" width="16" hidden="0" customWidth="1"/>
    <x:col min="5" max="5" width="3" hidden="0" customWidth="1"/>
    <x:col min="6" max="6" width="14" hidden="0" customWidth="1"/>
    <x:col min="7" max="12" width="10.19921875" customWidth="1"/>
    <x:col min="13" max="13" width="14" hidden="0" customWidth="1"/>
    <x:col min="14" max="26" width="11.46484375"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s>
  <x:sheetData>
    <x:row r="1" ht="26" customHeight="1">
      <x:c r="A1" s="229" t="s">
        <x:v>149</x:v>
      </x:c>
      <x:c r="B1" s="229"/>
      <x:c r="C1" s="229"/>
      <x:c r="D1" s="229"/>
      <x:c r="E1" s="229"/>
      <x:c r="F1" s="229"/>
      <x:c r="G1" s="229"/>
      <x:c r="H1" s="229"/>
      <x:c r="I1" s="229"/>
      <x:c r="J1" s="229"/>
      <x:c r="K1" s="229"/>
      <x:c r="L1" s="229"/>
      <x:c r="M1" s="229"/>
      <x:c r="N1" s="229"/>
      <x:c r="O1" s="229"/>
      <x:c r="P1" s="229"/>
      <x:c r="Q1" s="229"/>
      <x:c r="R1" s="229"/>
      <x:c r="S1" s="229"/>
      <x:c r="T1" s="229"/>
      <x:c r="U1" s="229"/>
      <x:c r="V1" s="229"/>
      <x:c r="W1" s="229"/>
      <x:c r="X1" s="229"/>
      <x:c r="Y1" s="229"/>
      <x:c r="Z1" s="229"/>
    </x:row>
    <x:row r="2" ht="20" customHeight="1">
      <x:c r="A2" s="114" t="s">
        <x:v>150</x:v>
      </x:c>
      <x:c r="B2" s="114"/>
      <x:c r="C2" s="114"/>
      <x:c r="D2" s="114"/>
      <x:c r="E2" s="114"/>
      <x:c r="F2" s="114"/>
      <x:c r="G2" s="114"/>
      <x:c r="H2" s="114"/>
      <x:c r="I2" s="114"/>
      <x:c r="J2" s="114"/>
      <x:c r="K2" s="114"/>
      <x:c r="L2" s="114"/>
      <x:c r="M2" s="114"/>
      <x:c r="N2" s="114"/>
      <x:c r="O2" s="114"/>
      <x:c r="P2" s="114"/>
      <x:c r="Q2" s="114"/>
      <x:c r="R2" s="114"/>
      <x:c r="S2" s="114"/>
      <x:c r="T2" s="114"/>
      <x:c r="U2" s="114"/>
      <x:c r="V2" s="114"/>
      <x:c r="W2" s="114"/>
      <x:c r="X2" s="114"/>
      <x:c r="Y2" s="114"/>
      <x:c r="Z2" s="114"/>
    </x:row>
    <x:row r="3">
      <x:c r="A3" s="268"/>
      <x:c r="B3" s="268"/>
      <x:c r="C3" s="268"/>
      <x:c r="D3" s="268"/>
      <x:c r="E3" s="268"/>
      <x:c r="F3" s="268"/>
      <x:c r="G3" s="268"/>
      <x:c r="H3" s="268"/>
      <x:c r="I3" s="268"/>
      <x:c r="J3" s="268"/>
      <x:c r="K3" s="268"/>
      <x:c r="L3" s="268"/>
      <x:c r="M3" s="268"/>
      <x:c r="N3" s="268"/>
      <x:c r="O3" s="268"/>
      <x:c r="P3" s="268"/>
      <x:c r="Q3" s="269"/>
      <x:c r="R3" s="269"/>
      <x:c r="S3" s="269"/>
      <x:c r="T3" s="269"/>
      <x:c r="U3" s="269"/>
      <x:c r="V3" s="269"/>
      <x:c r="W3" s="269"/>
      <x:c r="X3" s="269"/>
      <x:c r="Y3" s="269"/>
      <x:c r="Z3" s="269"/>
    </x:row>
    <x:row r="4">
      <x:c r="A4" s="333" t="s">
        <x:v>151</x:v>
      </x:c>
      <x:c r="B4" s="332" t="s">
        <x:v>152</x:v>
      </x:c>
      <x:c r="C4" s="332" t="s">
        <x:v>153</x:v>
      </x:c>
      <x:c r="D4" s="332" t="s">
        <x:v>154</x:v>
      </x:c>
      <x:c r="E4" s="332"/>
      <x:c r="F4" s="332" t="s">
        <x:v>155</x:v>
      </x:c>
      <x:c r="G4" s="332" t="s">
        <x:v>156</x:v>
      </x:c>
      <x:c r="H4" s="332" t="s">
        <x:v>157</x:v>
      </x:c>
      <x:c r="I4" s="332" t="s">
        <x:v>158</x:v>
      </x:c>
      <x:c r="J4" s="332" t="s">
        <x:v>159</x:v>
      </x:c>
      <x:c r="K4" s="332" t="s">
        <x:v>160</x:v>
      </x:c>
      <x:c r="L4" s="332" t="s">
        <x:v>161</x:v>
      </x:c>
      <x:c r="M4" s="332" t="s">
        <x:v>162</x:v>
      </x:c>
      <x:c r="N4" s="332" t="s">
        <x:v>163</x:v>
      </x:c>
      <x:c r="O4" s="332" t="s">
        <x:v>164</x:v>
      </x:c>
      <x:c r="P4" s="332" t="s">
        <x:v>165</x:v>
      </x:c>
      <x:c r="Q4" s="332" t="s">
        <x:v>166</x:v>
      </x:c>
      <x:c r="R4" s="332" t="s">
        <x:v>167</x:v>
      </x:c>
      <x:c r="S4" s="332" t="s">
        <x:v>168</x:v>
      </x:c>
      <x:c r="T4" s="332" t="s">
        <x:v>169</x:v>
      </x:c>
      <x:c r="U4" s="332" t="s">
        <x:v>170</x:v>
      </x:c>
      <x:c r="V4" s="332" t="s">
        <x:v>171</x:v>
      </x:c>
      <x:c r="W4" s="332" t="s">
        <x:v>172</x:v>
      </x:c>
      <x:c r="X4" s="332" t="s">
        <x:v>173</x:v>
      </x:c>
      <x:c r="Y4" s="332" t="s">
        <x:v>174</x:v>
      </x:c>
      <x:c r="Z4" s="332" t="s">
        <x:v>175</x:v>
      </x:c>
    </x:row>
    <x:row r="5">
      <x:c r="A5" s="268" t="s">
        <x:v>65</x:v>
      </x:c>
      <x:c r="B5" s="320" t="n">
        <x:f>Inputs!C40</x:f>
        <x:v>0.25</x:v>
      </x:c>
      <x:c r="C5" s="320" t="n">
        <x:f>Inputs!C41</x:f>
        <x:v>0.55</x:v>
      </x:c>
      <x:c r="D5" s="320" t="n">
        <x:f>Inputs!C42</x:f>
        <x:v>0.2</x:v>
      </x:c>
      <x:c r="E5" s="301" t="s">
        <x:v>176</x:v>
      </x:c>
      <x:c r="F5" s="275" t="n">
        <x:f>Asset_Model!B29</x:f>
        <x:v>-23490000</x:v>
      </x:c>
      <x:c r="G5" s="275" t="n">
        <x:f>IF(1&gt;Inputs!$C$10,0,(IF(1&lt;Inputs!$C$23,0,Inputs!$C$15*(1+$B$6)^(1-Inputs!$C$23+1)))*$B$7-MAX(0,((IF(1&lt;Inputs!$C$23,0,Inputs!$C$15*(1+$B$6)^(1-Inputs!$C$23+1)))*$B$7-(IF(1&lt;Inputs!$C$23,0,Inputs!$C$15*(1+$B$6)^(1-Inputs!$C$23+1)))*Inputs!$C$19)*Inputs!$C$22)-(IF(1&lt;Inputs!$C$23,0,Inputs!$C$15*(1+$B$6)^(1-Inputs!$C$23+1)))*Inputs!$C$20-((IF(1&lt;Inputs!$C$23,0,Inputs!$C$15*(1+$B$6)^(1-Inputs!$C$23+1)))-(IF(1-1&lt;Inputs!$C$23,0,Inputs!$C$15*(1+$B$6)^(1-Inputs!$C$23))))*Inputs!$C$21-((MAX(0,Asset_Model!$B$20-Asset_Model!$B$20*Inputs!$C$27*(1-1))+MAX(0,Asset_Model!$B$20-Asset_Model!$B$20*Inputs!$C$27*1))/2)*'Inputs'!$C$26-(MAX(0,Asset_Model!$B$20-Asset_Model!$B$20*Inputs!$C$27*(1-1))-MAX(0,Asset_Model!$B$20-Asset_Model!$B$20*Inputs!$C$27*1))+IF(1=Inputs!$C$10,((IF(1&lt;Inputs!$C$23,0,Inputs!$C$15*(1+$B$6)^(1-Inputs!$C$23+1)))*$B$7)*$B$8-MAX(0,Asset_Model!$B$20-Asset_Model!$B$20*Inputs!$C$27*1),0))</x:f>
        <x:v>1530425.7125000004</x:v>
      </x:c>
      <x:c r="H5" s="275" t="n">
        <x:f>IF(2&gt;Inputs!$C$10,0,(IF(2&lt;Inputs!$C$23,0,Inputs!$C$15*(1+$B$6)^(2-Inputs!$C$23+1)))*$B$7-MAX(0,((IF(2&lt;Inputs!$C$23,0,Inputs!$C$15*(1+$B$6)^(2-Inputs!$C$23+1)))*$B$7-(IF(2&lt;Inputs!$C$23,0,Inputs!$C$15*(1+$B$6)^(2-Inputs!$C$23+1)))*Inputs!$C$19)*Inputs!$C$22)-(IF(2&lt;Inputs!$C$23,0,Inputs!$C$15*(1+$B$6)^(2-Inputs!$C$23+1)))*Inputs!$C$20-((IF(2&lt;Inputs!$C$23,0,Inputs!$C$15*(1+$B$6)^(2-Inputs!$C$23+1)))-(IF(2-1&lt;Inputs!$C$23,0,Inputs!$C$15*(1+$B$6)^(2-Inputs!$C$23))))*Inputs!$C$21-((MAX(0,Asset_Model!$B$20-Asset_Model!$B$20*Inputs!$C$27*(2-1))+MAX(0,Asset_Model!$B$20-Asset_Model!$B$20*Inputs!$C$27*2))/2)*'Inputs'!$C$26-(MAX(0,Asset_Model!$B$20-Asset_Model!$B$20*Inputs!$C$27*(2-1))-MAX(0,Asset_Model!$B$20-Asset_Model!$B$20*Inputs!$C$27*2))+IF(2=Inputs!$C$10,((IF(2&lt;Inputs!$C$23,0,Inputs!$C$15*(1+$B$6)^(2-Inputs!$C$23+1)))*$B$7)*$B$8-MAX(0,Asset_Model!$B$20-Asset_Model!$B$20*Inputs!$C$27*2),0))</x:f>
        <x:v>1607786.478218751</x:v>
      </x:c>
      <x:c r="I5" s="275" t="n">
        <x:f>IF(3&gt;Inputs!$C$10,0,(IF(3&lt;Inputs!$C$23,0,Inputs!$C$15*(1+$B$6)^(3-Inputs!$C$23+1)))*$B$7-MAX(0,((IF(3&lt;Inputs!$C$23,0,Inputs!$C$15*(1+$B$6)^(3-Inputs!$C$23+1)))*$B$7-(IF(3&lt;Inputs!$C$23,0,Inputs!$C$15*(1+$B$6)^(3-Inputs!$C$23+1)))*Inputs!$C$19)*Inputs!$C$22)-(IF(3&lt;Inputs!$C$23,0,Inputs!$C$15*(1+$B$6)^(3-Inputs!$C$23+1)))*Inputs!$C$20-((IF(3&lt;Inputs!$C$23,0,Inputs!$C$15*(1+$B$6)^(3-Inputs!$C$23+1)))-(IF(3-1&lt;Inputs!$C$23,0,Inputs!$C$15*(1+$B$6)^(3-Inputs!$C$23))))*Inputs!$C$21-((MAX(0,Asset_Model!$B$20-Asset_Model!$B$20*Inputs!$C$27*(3-1))+MAX(0,Asset_Model!$B$20-Asset_Model!$B$20*Inputs!$C$27*3))/2)*'Inputs'!$C$26-(MAX(0,Asset_Model!$B$20-Asset_Model!$B$20*Inputs!$C$27*(3-1))-MAX(0,Asset_Model!$B$20-Asset_Model!$B$20*Inputs!$C$27*3))+IF(3=Inputs!$C$10,((IF(3&lt;Inputs!$C$23,0,Inputs!$C$15*(1+$B$6)^(3-Inputs!$C$23+1)))*$B$7)*$B$8-MAX(0,Asset_Model!$B$20-Asset_Model!$B$20*Inputs!$C$27*3),0))</x:f>
        <x:v>1636257.8270232044</x:v>
      </x:c>
      <x:c r="J5" s="275" t="n">
        <x:f>IF(4&gt;Inputs!$C$10,0,(IF(4&lt;Inputs!$C$23,0,Inputs!$C$15*(1+$B$6)^(4-Inputs!$C$23+1)))*$B$7-MAX(0,((IF(4&lt;Inputs!$C$23,0,Inputs!$C$15*(1+$B$6)^(4-Inputs!$C$23+1)))*$B$7-(IF(4&lt;Inputs!$C$23,0,Inputs!$C$15*(1+$B$6)^(4-Inputs!$C$23+1)))*Inputs!$C$19)*Inputs!$C$22)-(IF(4&lt;Inputs!$C$23,0,Inputs!$C$15*(1+$B$6)^(4-Inputs!$C$23+1)))*Inputs!$C$20-((IF(4&lt;Inputs!$C$23,0,Inputs!$C$15*(1+$B$6)^(4-Inputs!$C$23+1)))-(IF(4-1&lt;Inputs!$C$23,0,Inputs!$C$15*(1+$B$6)^(4-Inputs!$C$23))))*Inputs!$C$21-((MAX(0,Asset_Model!$B$20-Asset_Model!$B$20*Inputs!$C$27*(4-1))+MAX(0,Asset_Model!$B$20-Asset_Model!$B$20*Inputs!$C$27*4))/2)*'Inputs'!$C$26-(MAX(0,Asset_Model!$B$20-Asset_Model!$B$20*Inputs!$C$27*(4-1))-MAX(0,Asset_Model!$B$20-Asset_Model!$B$20*Inputs!$C$27*4))+IF(4=Inputs!$C$10,((IF(4&lt;Inputs!$C$23,0,Inputs!$C$15*(1+$B$6)^(4-Inputs!$C$23+1)))*$B$7)*$B$8-MAX(0,Asset_Model!$B$20-Asset_Model!$B$20*Inputs!$C$27*4),0))</x:f>
        <x:v>1664749.7074556462</x:v>
      </x:c>
      <x:c r="K5" s="275" t="n">
        <x:f>IF(5&gt;Inputs!$C$10,0,(IF(5&lt;Inputs!$C$23,0,Inputs!$C$15*(1+$B$6)^(5-Inputs!$C$23+1)))*$B$7-MAX(0,((IF(5&lt;Inputs!$C$23,0,Inputs!$C$15*(1+$B$6)^(5-Inputs!$C$23+1)))*$B$7-(IF(5&lt;Inputs!$C$23,0,Inputs!$C$15*(1+$B$6)^(5-Inputs!$C$23+1)))*Inputs!$C$19)*Inputs!$C$22)-(IF(5&lt;Inputs!$C$23,0,Inputs!$C$15*(1+$B$6)^(5-Inputs!$C$23+1)))*Inputs!$C$20-((IF(5&lt;Inputs!$C$23,0,Inputs!$C$15*(1+$B$6)^(5-Inputs!$C$23+1)))-(IF(5-1&lt;Inputs!$C$23,0,Inputs!$C$15*(1+$B$6)^(5-Inputs!$C$23))))*Inputs!$C$21-((MAX(0,Asset_Model!$B$20-Asset_Model!$B$20*Inputs!$C$27*(5-1))+MAX(0,Asset_Model!$B$20-Asset_Model!$B$20*Inputs!$C$27*5))/2)*'Inputs'!$C$26-(MAX(0,Asset_Model!$B$20-Asset_Model!$B$20*Inputs!$C$27*(5-1))-MAX(0,Asset_Model!$B$20-Asset_Model!$B$20*Inputs!$C$27*5))+IF(5=Inputs!$C$10,((IF(5&lt;Inputs!$C$23,0,Inputs!$C$15*(1+$B$6)^(5-Inputs!$C$23+1)))*$B$7)*$B$8-MAX(0,Asset_Model!$B$20-Asset_Model!$B$20*Inputs!$C$27*5),0))</x:f>
        <x:v>1693262.0681870072</x:v>
      </x:c>
      <x:c r="L5" s="275" t="n">
        <x:f>IF(6&gt;Inputs!$C$10,0,(IF(6&lt;Inputs!$C$23,0,Inputs!$C$15*(1+$B$6)^(6-Inputs!$C$23+1)))*$B$7-MAX(0,((IF(6&lt;Inputs!$C$23,0,Inputs!$C$15*(1+$B$6)^(6-Inputs!$C$23+1)))*$B$7-(IF(6&lt;Inputs!$C$23,0,Inputs!$C$15*(1+$B$6)^(6-Inputs!$C$23+1)))*Inputs!$C$19)*Inputs!$C$22)-(IF(6&lt;Inputs!$C$23,0,Inputs!$C$15*(1+$B$6)^(6-Inputs!$C$23+1)))*Inputs!$C$20-((IF(6&lt;Inputs!$C$23,0,Inputs!$C$15*(1+$B$6)^(6-Inputs!$C$23+1)))-(IF(6-1&lt;Inputs!$C$23,0,Inputs!$C$15*(1+$B$6)^(6-Inputs!$C$23))))*Inputs!$C$21-((MAX(0,Asset_Model!$B$20-Asset_Model!$B$20*Inputs!$C$27*(6-1))+MAX(0,Asset_Model!$B$20-Asset_Model!$B$20*Inputs!$C$27*6))/2)*'Inputs'!$C$26-(MAX(0,Asset_Model!$B$20-Asset_Model!$B$20*Inputs!$C$27*(6-1))-MAX(0,Asset_Model!$B$20-Asset_Model!$B$20*Inputs!$C$27*6))+IF(6=Inputs!$C$10,((IF(6&lt;Inputs!$C$23,0,Inputs!$C$15*(1+$B$6)^(6-Inputs!$C$23+1)))*$B$7)*$B$8-MAX(0,Asset_Model!$B$20-Asset_Model!$B$20*Inputs!$C$27*6),0))</x:f>
        <x:v>1721794.8580165398</x:v>
      </x:c>
      <x:c r="M5" s="275" t="n">
        <x:f>IF(7&gt;Inputs!$C$10,0,(IF(7&lt;Inputs!$C$23,0,Inputs!$C$15*(1+$B$6)^(7-Inputs!$C$23+1)))*$B$7-MAX(0,((IF(7&lt;Inputs!$C$23,0,Inputs!$C$15*(1+$B$6)^(7-Inputs!$C$23+1)))*$B$7-(IF(7&lt;Inputs!$C$23,0,Inputs!$C$15*(1+$B$6)^(7-Inputs!$C$23+1)))*Inputs!$C$19)*Inputs!$C$22)-(IF(7&lt;Inputs!$C$23,0,Inputs!$C$15*(1+$B$6)^(7-Inputs!$C$23+1)))*Inputs!$C$20-((IF(7&lt;Inputs!$C$23,0,Inputs!$C$15*(1+$B$6)^(7-Inputs!$C$23+1)))-(IF(7-1&lt;Inputs!$C$23,0,Inputs!$C$15*(1+$B$6)^(7-Inputs!$C$23))))*Inputs!$C$21-((MAX(0,Asset_Model!$B$20-Asset_Model!$B$20*Inputs!$C$27*(7-1))+MAX(0,Asset_Model!$B$20-Asset_Model!$B$20*Inputs!$C$27*7))/2)*'Inputs'!$C$26-(MAX(0,Asset_Model!$B$20-Asset_Model!$B$20*Inputs!$C$27*(7-1))-MAX(0,Asset_Model!$B$20-Asset_Model!$B$20*Inputs!$C$27*7))+IF(7=Inputs!$C$10,((IF(7&lt;Inputs!$C$23,0,Inputs!$C$15*(1+$B$6)^(7-Inputs!$C$23+1)))*$B$7)*$B$8-MAX(0,Asset_Model!$B$20-Asset_Model!$B$20*Inputs!$C$27*7),0))</x:f>
        <x:v>1750348.025871499</x:v>
      </x:c>
      <x:c r="N5" s="275" t="n">
        <x:f>IF(8&gt;Inputs!$C$10,0,(IF(8&lt;Inputs!$C$23,0,Inputs!$C$15*(1+$B$6)^(8-Inputs!$C$23+1)))*$B$7-MAX(0,((IF(8&lt;Inputs!$C$23,0,Inputs!$C$15*(1+$B$6)^(8-Inputs!$C$23+1)))*$B$7-(IF(8&lt;Inputs!$C$23,0,Inputs!$C$15*(1+$B$6)^(8-Inputs!$C$23+1)))*Inputs!$C$19)*Inputs!$C$22)-(IF(8&lt;Inputs!$C$23,0,Inputs!$C$15*(1+$B$6)^(8-Inputs!$C$23+1)))*Inputs!$C$20-((IF(8&lt;Inputs!$C$23,0,Inputs!$C$15*(1+$B$6)^(8-Inputs!$C$23+1)))-(IF(8-1&lt;Inputs!$C$23,0,Inputs!$C$15*(1+$B$6)^(8-Inputs!$C$23))))*Inputs!$C$21-((MAX(0,Asset_Model!$B$20-Asset_Model!$B$20*Inputs!$C$27*(8-1))+MAX(0,Asset_Model!$B$20-Asset_Model!$B$20*Inputs!$C$27*8))/2)*'Inputs'!$C$26-(MAX(0,Asset_Model!$B$20-Asset_Model!$B$20*Inputs!$C$27*(8-1))-MAX(0,Asset_Model!$B$20-Asset_Model!$B$20*Inputs!$C$27*8))+IF(8=Inputs!$C$10,((IF(8&lt;Inputs!$C$23,0,Inputs!$C$15*(1+$B$6)^(8-Inputs!$C$23+1)))*$B$7)*$B$8-MAX(0,Asset_Model!$B$20-Asset_Model!$B$20*Inputs!$C$27*8),0))</x:f>
        <x:v>1778921.5208068201</x:v>
      </x:c>
      <x:c r="O5" s="275" t="n">
        <x:f>IF(9&gt;Inputs!$C$10,0,(IF(9&lt;Inputs!$C$23,0,Inputs!$C$15*(1+$B$6)^(9-Inputs!$C$23+1)))*$B$7-MAX(0,((IF(9&lt;Inputs!$C$23,0,Inputs!$C$15*(1+$B$6)^(9-Inputs!$C$23+1)))*$B$7-(IF(9&lt;Inputs!$C$23,0,Inputs!$C$15*(1+$B$6)^(9-Inputs!$C$23+1)))*Inputs!$C$19)*Inputs!$C$22)-(IF(9&lt;Inputs!$C$23,0,Inputs!$C$15*(1+$B$6)^(9-Inputs!$C$23+1)))*Inputs!$C$20-((IF(9&lt;Inputs!$C$23,0,Inputs!$C$15*(1+$B$6)^(9-Inputs!$C$23+1)))-(IF(9-1&lt;Inputs!$C$23,0,Inputs!$C$15*(1+$B$6)^(9-Inputs!$C$23))))*Inputs!$C$21-((MAX(0,Asset_Model!$B$20-Asset_Model!$B$20*Inputs!$C$27*(9-1))+MAX(0,Asset_Model!$B$20-Asset_Model!$B$20*Inputs!$C$27*9))/2)*'Inputs'!$C$26-(MAX(0,Asset_Model!$B$20-Asset_Model!$B$20*Inputs!$C$27*(9-1))-MAX(0,Asset_Model!$B$20-Asset_Model!$B$20*Inputs!$C$27*9))+IF(9=Inputs!$C$10,((IF(9&lt;Inputs!$C$23,0,Inputs!$C$15*(1+$B$6)^(9-Inputs!$C$23+1)))*$B$7)*$B$8-MAX(0,Asset_Model!$B$20-Asset_Model!$B$20*Inputs!$C$27*9),0))</x:f>
        <x:v>1807515.2920048032</x:v>
      </x:c>
      <x:c r="P5" s="275" t="n">
        <x:f>IF(10&gt;Inputs!$C$10,0,(IF(10&lt;Inputs!$C$23,0,Inputs!$C$15*(1+$B$6)^(10-Inputs!$C$23+1)))*$B$7-MAX(0,((IF(10&lt;Inputs!$C$23,0,Inputs!$C$15*(1+$B$6)^(10-Inputs!$C$23+1)))*$B$7-(IF(10&lt;Inputs!$C$23,0,Inputs!$C$15*(1+$B$6)^(10-Inputs!$C$23+1)))*Inputs!$C$19)*Inputs!$C$22)-(IF(10&lt;Inputs!$C$23,0,Inputs!$C$15*(1+$B$6)^(10-Inputs!$C$23+1)))*Inputs!$C$20-((IF(10&lt;Inputs!$C$23,0,Inputs!$C$15*(1+$B$6)^(10-Inputs!$C$23+1)))-(IF(10-1&lt;Inputs!$C$23,0,Inputs!$C$15*(1+$B$6)^(10-Inputs!$C$23))))*Inputs!$C$21-((MAX(0,Asset_Model!$B$20-Asset_Model!$B$20*Inputs!$C$27*(10-1))+MAX(0,Asset_Model!$B$20-Asset_Model!$B$20*Inputs!$C$27*10))/2)*'Inputs'!$C$26-(MAX(0,Asset_Model!$B$20-Asset_Model!$B$20*Inputs!$C$27*(10-1))-MAX(0,Asset_Model!$B$20-Asset_Model!$B$20*Inputs!$C$27*10))+IF(10=Inputs!$C$10,((IF(10&lt;Inputs!$C$23,0,Inputs!$C$15*(1+$B$6)^(10-Inputs!$C$23+1)))*$B$7)*$B$8-MAX(0,Asset_Model!$B$20-Asset_Model!$B$20*Inputs!$C$27*10),0))</x:f>
        <x:v>1836129.2887747912</x:v>
      </x:c>
      <x:c r="Q5" s="275" t="n">
        <x:f>IF(11&gt;Inputs!$C$10,0,(IF(11&lt;Inputs!$C$23,0,Inputs!$C$15*(1+$B$6)^(11-Inputs!$C$23+1)))*$B$7-MAX(0,((IF(11&lt;Inputs!$C$23,0,Inputs!$C$15*(1+$B$6)^(11-Inputs!$C$23+1)))*$B$7-(IF(11&lt;Inputs!$C$23,0,Inputs!$C$15*(1+$B$6)^(11-Inputs!$C$23+1)))*Inputs!$C$19)*Inputs!$C$22)-(IF(11&lt;Inputs!$C$23,0,Inputs!$C$15*(1+$B$6)^(11-Inputs!$C$23+1)))*Inputs!$C$20-((IF(11&lt;Inputs!$C$23,0,Inputs!$C$15*(1+$B$6)^(11-Inputs!$C$23+1)))-(IF(11-1&lt;Inputs!$C$23,0,Inputs!$C$15*(1+$B$6)^(11-Inputs!$C$23))))*Inputs!$C$21-((MAX(0,Asset_Model!$B$20-Asset_Model!$B$20*Inputs!$C$27*(11-1))+MAX(0,Asset_Model!$B$20-Asset_Model!$B$20*Inputs!$C$27*11))/2)*'Inputs'!$C$26-(MAX(0,Asset_Model!$B$20-Asset_Model!$B$20*Inputs!$C$27*(11-1))-MAX(0,Asset_Model!$B$20-Asset_Model!$B$20*Inputs!$C$27*11))+IF(11=Inputs!$C$10,((IF(11&lt;Inputs!$C$23,0,Inputs!$C$15*(1+$B$6)^(11-Inputs!$C$23+1)))*$B$7)*$B$8-MAX(0,Asset_Model!$B$20-Asset_Model!$B$20*Inputs!$C$27*11),0))</x:f>
        <x:v>1864763.4605528545</x:v>
      </x:c>
      <x:c r="R5" s="275" t="n">
        <x:f>IF(12&gt;Inputs!$C$10,0,(IF(12&lt;Inputs!$C$23,0,Inputs!$C$15*(1+$B$6)^(12-Inputs!$C$23+1)))*$B$7-MAX(0,((IF(12&lt;Inputs!$C$23,0,Inputs!$C$15*(1+$B$6)^(12-Inputs!$C$23+1)))*$B$7-(IF(12&lt;Inputs!$C$23,0,Inputs!$C$15*(1+$B$6)^(12-Inputs!$C$23+1)))*Inputs!$C$19)*Inputs!$C$22)-(IF(12&lt;Inputs!$C$23,0,Inputs!$C$15*(1+$B$6)^(12-Inputs!$C$23+1)))*Inputs!$C$20-((IF(12&lt;Inputs!$C$23,0,Inputs!$C$15*(1+$B$6)^(12-Inputs!$C$23+1)))-(IF(12-1&lt;Inputs!$C$23,0,Inputs!$C$15*(1+$B$6)^(12-Inputs!$C$23))))*Inputs!$C$21-((MAX(0,Asset_Model!$B$20-Asset_Model!$B$20*Inputs!$C$27*(12-1))+MAX(0,Asset_Model!$B$20-Asset_Model!$B$20*Inputs!$C$27*12))/2)*'Inputs'!$C$26-(MAX(0,Asset_Model!$B$20-Asset_Model!$B$20*Inputs!$C$27*(12-1))-MAX(0,Asset_Model!$B$20-Asset_Model!$B$20*Inputs!$C$27*12))+IF(12=Inputs!$C$10,((IF(12&lt;Inputs!$C$23,0,Inputs!$C$15*(1+$B$6)^(12-Inputs!$C$23+1)))*$B$7)*$B$8-MAX(0,Asset_Model!$B$20-Asset_Model!$B$20*Inputs!$C$27*12),0))</x:f>
        <x:v>1893417.7569014728</x:v>
      </x:c>
      <x:c r="S5" s="275" t="n">
        <x:f>IF(13&gt;Inputs!$C$10,0,(IF(13&lt;Inputs!$C$23,0,Inputs!$C$15*(1+$B$6)^(13-Inputs!$C$23+1)))*$B$7-MAX(0,((IF(13&lt;Inputs!$C$23,0,Inputs!$C$15*(1+$B$6)^(13-Inputs!$C$23+1)))*$B$7-(IF(13&lt;Inputs!$C$23,0,Inputs!$C$15*(1+$B$6)^(13-Inputs!$C$23+1)))*Inputs!$C$19)*Inputs!$C$22)-(IF(13&lt;Inputs!$C$23,0,Inputs!$C$15*(1+$B$6)^(13-Inputs!$C$23+1)))*Inputs!$C$20-((IF(13&lt;Inputs!$C$23,0,Inputs!$C$15*(1+$B$6)^(13-Inputs!$C$23+1)))-(IF(13-1&lt;Inputs!$C$23,0,Inputs!$C$15*(1+$B$6)^(13-Inputs!$C$23))))*Inputs!$C$21-((MAX(0,Asset_Model!$B$20-Asset_Model!$B$20*Inputs!$C$27*(13-1))+MAX(0,Asset_Model!$B$20-Asset_Model!$B$20*Inputs!$C$27*13))/2)*'Inputs'!$C$26-(MAX(0,Asset_Model!$B$20-Asset_Model!$B$20*Inputs!$C$27*(13-1))-MAX(0,Asset_Model!$B$20-Asset_Model!$B$20*Inputs!$C$27*13))+IF(13=Inputs!$C$10,((IF(13&lt;Inputs!$C$23,0,Inputs!$C$15*(1+$B$6)^(13-Inputs!$C$23+1)))*$B$7)*$B$8-MAX(0,Asset_Model!$B$20-Asset_Model!$B$20*Inputs!$C$27*13),0))</x:f>
        <x:v>1922092.127509219</x:v>
      </x:c>
      <x:c r="T5" s="275" t="n">
        <x:f>IF(14&gt;Inputs!$C$10,0,(IF(14&lt;Inputs!$C$23,0,Inputs!$C$15*(1+$B$6)^(14-Inputs!$C$23+1)))*$B$7-MAX(0,((IF(14&lt;Inputs!$C$23,0,Inputs!$C$15*(1+$B$6)^(14-Inputs!$C$23+1)))*$B$7-(IF(14&lt;Inputs!$C$23,0,Inputs!$C$15*(1+$B$6)^(14-Inputs!$C$23+1)))*Inputs!$C$19)*Inputs!$C$22)-(IF(14&lt;Inputs!$C$23,0,Inputs!$C$15*(1+$B$6)^(14-Inputs!$C$23+1)))*Inputs!$C$20-((IF(14&lt;Inputs!$C$23,0,Inputs!$C$15*(1+$B$6)^(14-Inputs!$C$23+1)))-(IF(14-1&lt;Inputs!$C$23,0,Inputs!$C$15*(1+$B$6)^(14-Inputs!$C$23))))*Inputs!$C$21-((MAX(0,Asset_Model!$B$20-Asset_Model!$B$20*Inputs!$C$27*(14-1))+MAX(0,Asset_Model!$B$20-Asset_Model!$B$20*Inputs!$C$27*14))/2)*'Inputs'!$C$26-(MAX(0,Asset_Model!$B$20-Asset_Model!$B$20*Inputs!$C$27*(14-1))-MAX(0,Asset_Model!$B$20-Asset_Model!$B$20*Inputs!$C$27*14))+IF(14=Inputs!$C$10,((IF(14&lt;Inputs!$C$23,0,Inputs!$C$15*(1+$B$6)^(14-Inputs!$C$23+1)))*$B$7)*$B$8-MAX(0,Asset_Model!$B$20-Asset_Model!$B$20*Inputs!$C$27*14),0))</x:f>
        <x:v>1950786.522190446</x:v>
      </x:c>
      <x:c r="U5" s="275" t="n">
        <x:f>IF(15&gt;Inputs!$C$10,0,(IF(15&lt;Inputs!$C$23,0,Inputs!$C$15*(1+$B$6)^(15-Inputs!$C$23+1)))*$B$7-MAX(0,((IF(15&lt;Inputs!$C$23,0,Inputs!$C$15*(1+$B$6)^(15-Inputs!$C$23+1)))*$B$7-(IF(15&lt;Inputs!$C$23,0,Inputs!$C$15*(1+$B$6)^(15-Inputs!$C$23+1)))*Inputs!$C$19)*Inputs!$C$22)-(IF(15&lt;Inputs!$C$23,0,Inputs!$C$15*(1+$B$6)^(15-Inputs!$C$23+1)))*Inputs!$C$20-((IF(15&lt;Inputs!$C$23,0,Inputs!$C$15*(1+$B$6)^(15-Inputs!$C$23+1)))-(IF(15-1&lt;Inputs!$C$23,0,Inputs!$C$15*(1+$B$6)^(15-Inputs!$C$23))))*Inputs!$C$21-((MAX(0,Asset_Model!$B$20-Asset_Model!$B$20*Inputs!$C$27*(15-1))+MAX(0,Asset_Model!$B$20-Asset_Model!$B$20*Inputs!$C$27*15))/2)*'Inputs'!$C$26-(MAX(0,Asset_Model!$B$20-Asset_Model!$B$20*Inputs!$C$27*(15-1))-MAX(0,Asset_Model!$B$20-Asset_Model!$B$20*Inputs!$C$27*15))+IF(15=Inputs!$C$10,((IF(15&lt;Inputs!$C$23,0,Inputs!$C$15*(1+$B$6)^(15-Inputs!$C$23+1)))*$B$7)*$B$8-MAX(0,Asset_Model!$B$20-Asset_Model!$B$20*Inputs!$C$27*15),0))</x:f>
        <x:v>1979500.8908849703</x:v>
      </x:c>
      <x:c r="V5" s="275" t="n">
        <x:f>IF(16&gt;Inputs!$C$10,0,(IF(16&lt;Inputs!$C$23,0,Inputs!$C$15*(1+$B$6)^(16-Inputs!$C$23+1)))*$B$7-MAX(0,((IF(16&lt;Inputs!$C$23,0,Inputs!$C$15*(1+$B$6)^(16-Inputs!$C$23+1)))*$B$7-(IF(16&lt;Inputs!$C$23,0,Inputs!$C$15*(1+$B$6)^(16-Inputs!$C$23+1)))*Inputs!$C$19)*Inputs!$C$22)-(IF(16&lt;Inputs!$C$23,0,Inputs!$C$15*(1+$B$6)^(16-Inputs!$C$23+1)))*Inputs!$C$20-((IF(16&lt;Inputs!$C$23,0,Inputs!$C$15*(1+$B$6)^(16-Inputs!$C$23+1)))-(IF(16-1&lt;Inputs!$C$23,0,Inputs!$C$15*(1+$B$6)^(16-Inputs!$C$23))))*Inputs!$C$21-((MAX(0,Asset_Model!$B$20-Asset_Model!$B$20*Inputs!$C$27*(16-1))+MAX(0,Asset_Model!$B$20-Asset_Model!$B$20*Inputs!$C$27*16))/2)*'Inputs'!$C$26-(MAX(0,Asset_Model!$B$20-Asset_Model!$B$20*Inputs!$C$27*(16-1))-MAX(0,Asset_Model!$B$20-Asset_Model!$B$20*Inputs!$C$27*16))+IF(16=Inputs!$C$10,((IF(16&lt;Inputs!$C$23,0,Inputs!$C$15*(1+$B$6)^(16-Inputs!$C$23+1)))*$B$7)*$B$8-MAX(0,Asset_Model!$B$20-Asset_Model!$B$20*Inputs!$C$27*16),0))</x:f>
        <x:v>2008235.183657758</x:v>
      </x:c>
      <x:c r="W5" s="275" t="n">
        <x:f>IF(17&gt;Inputs!$C$10,0,(IF(17&lt;Inputs!$C$23,0,Inputs!$C$15*(1+$B$6)^(17-Inputs!$C$23+1)))*$B$7-MAX(0,((IF(17&lt;Inputs!$C$23,0,Inputs!$C$15*(1+$B$6)^(17-Inputs!$C$23+1)))*$B$7-(IF(17&lt;Inputs!$C$23,0,Inputs!$C$15*(1+$B$6)^(17-Inputs!$C$23+1)))*Inputs!$C$19)*Inputs!$C$22)-(IF(17&lt;Inputs!$C$23,0,Inputs!$C$15*(1+$B$6)^(17-Inputs!$C$23+1)))*Inputs!$C$20-((IF(17&lt;Inputs!$C$23,0,Inputs!$C$15*(1+$B$6)^(17-Inputs!$C$23+1)))-(IF(17-1&lt;Inputs!$C$23,0,Inputs!$C$15*(1+$B$6)^(17-Inputs!$C$23))))*Inputs!$C$21-((MAX(0,Asset_Model!$B$20-Asset_Model!$B$20*Inputs!$C$27*(17-1))+MAX(0,Asset_Model!$B$20-Asset_Model!$B$20*Inputs!$C$27*17))/2)*'Inputs'!$C$26-(MAX(0,Asset_Model!$B$20-Asset_Model!$B$20*Inputs!$C$27*(17-1))-MAX(0,Asset_Model!$B$20-Asset_Model!$B$20*Inputs!$C$27*17))+IF(17=Inputs!$C$10,((IF(17&lt;Inputs!$C$23,0,Inputs!$C$15*(1+$B$6)^(17-Inputs!$C$23+1)))*$B$7)*$B$8-MAX(0,Asset_Model!$B$20-Asset_Model!$B$20*Inputs!$C$27*17),0))</x:f>
        <x:v>2036989.3506986136</x:v>
      </x:c>
      <x:c r="X5" s="275" t="n">
        <x:f>IF(18&gt;Inputs!$C$10,0,(IF(18&lt;Inputs!$C$23,0,Inputs!$C$15*(1+$B$6)^(18-Inputs!$C$23+1)))*$B$7-MAX(0,((IF(18&lt;Inputs!$C$23,0,Inputs!$C$15*(1+$B$6)^(18-Inputs!$C$23+1)))*$B$7-(IF(18&lt;Inputs!$C$23,0,Inputs!$C$15*(1+$B$6)^(18-Inputs!$C$23+1)))*Inputs!$C$19)*Inputs!$C$22)-(IF(18&lt;Inputs!$C$23,0,Inputs!$C$15*(1+$B$6)^(18-Inputs!$C$23+1)))*Inputs!$C$20-((IF(18&lt;Inputs!$C$23,0,Inputs!$C$15*(1+$B$6)^(18-Inputs!$C$23+1)))-(IF(18-1&lt;Inputs!$C$23,0,Inputs!$C$15*(1+$B$6)^(18-Inputs!$C$23))))*Inputs!$C$21-((MAX(0,Asset_Model!$B$20-Asset_Model!$B$20*Inputs!$C$27*(18-1))+MAX(0,Asset_Model!$B$20-Asset_Model!$B$20*Inputs!$C$27*18))/2)*'Inputs'!$C$26-(MAX(0,Asset_Model!$B$20-Asset_Model!$B$20*Inputs!$C$27*(18-1))-MAX(0,Asset_Model!$B$20-Asset_Model!$B$20*Inputs!$C$27*18))+IF(18=Inputs!$C$10,((IF(18&lt;Inputs!$C$23,0,Inputs!$C$15*(1+$B$6)^(18-Inputs!$C$23+1)))*$B$7)*$B$8-MAX(0,Asset_Model!$B$20-Asset_Model!$B$20*Inputs!$C$27*18),0))</x:f>
        <x:v>2065763.3423218671</x:v>
      </x:c>
      <x:c r="Y5" s="275" t="n">
        <x:f>IF(19&gt;Inputs!$C$10,0,(IF(19&lt;Inputs!$C$23,0,Inputs!$C$15*(1+$B$6)^(19-Inputs!$C$23+1)))*$B$7-MAX(0,((IF(19&lt;Inputs!$C$23,0,Inputs!$C$15*(1+$B$6)^(19-Inputs!$C$23+1)))*$B$7-(IF(19&lt;Inputs!$C$23,0,Inputs!$C$15*(1+$B$6)^(19-Inputs!$C$23+1)))*Inputs!$C$19)*Inputs!$C$22)-(IF(19&lt;Inputs!$C$23,0,Inputs!$C$15*(1+$B$6)^(19-Inputs!$C$23+1)))*Inputs!$C$20-((IF(19&lt;Inputs!$C$23,0,Inputs!$C$15*(1+$B$6)^(19-Inputs!$C$23+1)))-(IF(19-1&lt;Inputs!$C$23,0,Inputs!$C$15*(1+$B$6)^(19-Inputs!$C$23))))*Inputs!$C$21-((MAX(0,Asset_Model!$B$20-Asset_Model!$B$20*Inputs!$C$27*(19-1))+MAX(0,Asset_Model!$B$20-Asset_Model!$B$20*Inputs!$C$27*19))/2)*'Inputs'!$C$26-(MAX(0,Asset_Model!$B$20-Asset_Model!$B$20*Inputs!$C$27*(19-1))-MAX(0,Asset_Model!$B$20-Asset_Model!$B$20*Inputs!$C$27*19))+IF(19=Inputs!$C$10,((IF(19&lt;Inputs!$C$23,0,Inputs!$C$15*(1+$B$6)^(19-Inputs!$C$23+1)))*$B$7)*$B$8-MAX(0,Asset_Model!$B$20-Asset_Model!$B$20*Inputs!$C$27*19),0))</x:f>
        <x:v>2094557.1089660632</x:v>
      </x:c>
      <x:c r="Z5" s="275" t="n">
        <x:f>IF(20&gt;Inputs!$C$10,0,(IF(20&lt;Inputs!$C$23,0,Inputs!$C$15*(1+$B$6)^(20-Inputs!$C$23+1)))*$B$7-MAX(0,((IF(20&lt;Inputs!$C$23,0,Inputs!$C$15*(1+$B$6)^(20-Inputs!$C$23+1)))*$B$7-(IF(20&lt;Inputs!$C$23,0,Inputs!$C$15*(1+$B$6)^(20-Inputs!$C$23+1)))*Inputs!$C$19)*Inputs!$C$22)-(IF(20&lt;Inputs!$C$23,0,Inputs!$C$15*(1+$B$6)^(20-Inputs!$C$23+1)))*Inputs!$C$20-((IF(20&lt;Inputs!$C$23,0,Inputs!$C$15*(1+$B$6)^(20-Inputs!$C$23+1)))-(IF(20-1&lt;Inputs!$C$23,0,Inputs!$C$15*(1+$B$6)^(20-Inputs!$C$23))))*Inputs!$C$21-((MAX(0,Asset_Model!$B$20-Asset_Model!$B$20*Inputs!$C$27*(20-1))+MAX(0,Asset_Model!$B$20-Asset_Model!$B$20*Inputs!$C$27*20))/2)*'Inputs'!$C$26-(MAX(0,Asset_Model!$B$20-Asset_Model!$B$20*Inputs!$C$27*(20-1))-MAX(0,Asset_Model!$B$20-Asset_Model!$B$20*Inputs!$C$27*20))+IF(20=Inputs!$C$10,((IF(20&lt;Inputs!$C$23,0,Inputs!$C$15*(1+$B$6)^(20-Inputs!$C$23+1)))*$B$7)*$B$8-MAX(0,Asset_Model!$B$20-Asset_Model!$B$20*Inputs!$C$27*20),0))</x:f>
        <x:v>14329972.110714983</x:v>
      </x:c>
    </x:row>
    <x:row r="6">
      <x:c r="A6" s="268" t="s">
        <x:v>28</x:v>
      </x:c>
      <x:c r="B6" s="320" t="n">
        <x:f>MAX(-100%,Inputs!C16+Inputs!C43)</x:f>
        <x:v>-0.0024999999999999988</x:v>
      </x:c>
      <x:c r="C6" s="320" t="n">
        <x:f>Inputs!C16</x:f>
        <x:v>0.0125</x:v>
      </x:c>
      <x:c r="D6" s="320" t="n">
        <x:f>Inputs!C16+Inputs!C44</x:f>
        <x:v>0.0225</x:v>
      </x:c>
      <x:c r="E6" s="301" t="s">
        <x:v>177</x:v>
      </x:c>
      <x:c r="F6" s="275" t="n">
        <x:f>'Asset_Model'!B29</x:f>
        <x:v>-23490000</x:v>
      </x:c>
      <x:c r="G6" s="275" t="n">
        <x:f>'Asset_Model'!C29</x:f>
        <x:v>1999533.75</x:v>
      </x:c>
      <x:c r="H6" s="275" t="n">
        <x:f>'Asset_Model'!D29</x:f>
        <x:v>2082636.396875</x:v>
      </x:c>
      <x:c r="I6" s="275" t="n">
        <x:f>'Asset_Model'!E29</x:f>
        <x:v>2166319.2768359375</x:v>
      </x:c>
      <x:c r="J6" s="275" t="n">
        <x:f>'Asset_Model'!F29</x:f>
        <x:v>2250589.6427963865</x:v>
      </x:c>
      <x:c r="K6" s="275" t="n">
        <x:f>'Asset_Model'!G29</x:f>
        <x:v>2251896.838331341</x:v>
      </x:c>
      <x:c r="L6" s="275" t="n">
        <x:f>'Asset_Model'!H29</x:f>
        <x:v>2341440.2988104834</x:v>
      </x:c>
      <x:c r="M6" s="275" t="n">
        <x:f>'Asset_Model'!I29</x:f>
        <x:v>2431593.552545614</x:v>
      </x:c>
      <x:c r="N6" s="275" t="n">
        <x:f>'Asset_Model'!J29</x:f>
        <x:v>2522364.2219524346</x:v>
      </x:c>
      <x:c r="O6" s="275" t="n">
        <x:f>'Asset_Model'!K29</x:f>
        <x:v>2613760.0247268393</x:v>
      </x:c>
      <x:c r="P6" s="275" t="n">
        <x:f>'Asset_Model'!L29</x:f>
        <x:v>2642610.775035925</x:v>
      </x:c>
      <x:c r="Q6" s="275" t="n">
        <x:f>'Asset_Model'!M29</x:f>
        <x:v>2857560.384723874</x:v>
      </x:c>
      <x:c r="R6" s="275" t="n">
        <x:f>'Asset_Model'!N29</x:f>
        <x:v>2836750.8645329224</x:v>
      </x:c>
      <x:c r="S6" s="275" t="n">
        <x:f>'Asset_Model'!O29</x:f>
        <x:v>2934802.3253395837</x:v>
      </x:c>
      <x:c r="T6" s="275" t="n">
        <x:f>'Asset_Model'!P29</x:f>
        <x:v>3033518.979406329</x:v>
      </x:c>
      <x:c r="U6" s="275" t="n">
        <x:f>'Asset_Model'!Q29</x:f>
        <x:v>3132909.141648908</x:v>
      </x:c>
      <x:c r="V6" s="275" t="n">
        <x:f>'Asset_Model'!R29</x:f>
        <x:v>3232981.2309195185</x:v>
      </x:c>
      <x:c r="W6" s="275" t="n">
        <x:f>'Asset_Model'!S29</x:f>
        <x:v>3333743.7713060128</x:v>
      </x:c>
      <x:c r="X6" s="275" t="n">
        <x:f>'Asset_Model'!T29</x:f>
        <x:v>3435205.3934473386</x:v>
      </x:c>
      <x:c r="Y6" s="275" t="n">
        <x:f>'Asset_Model'!U29</x:f>
        <x:v>3537374.8358654287</x:v>
      </x:c>
      <x:c r="Z6" s="275" t="n">
        <x:f>'Asset_Model'!V29</x:f>
        <x:v>33581420.19036903</x:v>
      </x:c>
    </x:row>
    <x:row r="7">
      <x:c r="A7" s="268" t="s">
        <x:v>30</x:v>
      </x:c>
      <x:c r="B7" s="320" t="n">
        <x:f>MAX(0,Inputs!C17+Inputs!C45)</x:f>
        <x:v>0.7000000000000001</x:v>
      </x:c>
      <x:c r="C7" s="320" t="n">
        <x:f>Inputs!C17</x:f>
        <x:v>0.775</x:v>
      </x:c>
      <x:c r="D7" s="320" t="n">
        <x:f>MIN(100%,Inputs!C17+Inputs!C46)</x:f>
        <x:v>0.8250000000000001</x:v>
      </x:c>
      <x:c r="E7" s="301" t="s">
        <x:v>178</x:v>
      </x:c>
      <x:c r="F7" s="275" t="n">
        <x:f>Asset_Model!B29</x:f>
        <x:v>-23490000</x:v>
      </x:c>
      <x:c r="G7" s="275" t="n">
        <x:f>IF(1&gt;Inputs!$C$10,0,(IF(1&lt;Inputs!$C$23,0,Inputs!$C$15*(1+$D$6)^(1-Inputs!$C$23+1)))*$D$7-MAX(0,((IF(1&lt;Inputs!$C$23,0,Inputs!$C$15*(1+$D$6)^(1-Inputs!$C$23+1)))*$D$7-(IF(1&lt;Inputs!$C$23,0,Inputs!$C$15*(1+$D$6)^(1-Inputs!$C$23+1)))*Inputs!$C$19)*Inputs!$C$22)-(IF(1&lt;Inputs!$C$23,0,Inputs!$C$15*(1+$D$6)^(1-Inputs!$C$23+1)))*Inputs!$C$20-((IF(1&lt;Inputs!$C$23,0,Inputs!$C$15*(1+$D$6)^(1-Inputs!$C$23+1)))-(IF(1-1&lt;Inputs!$C$23,0,Inputs!$C$15*(1+$D$6)^(1-Inputs!$C$23))))*Inputs!$C$21-((MAX(0,Asset_Model!$B$20-Asset_Model!$B$20*Inputs!$C$27*(1-1))+MAX(0,Asset_Model!$B$20-Asset_Model!$B$20*Inputs!$C$27*1))/2)*'Inputs'!$C$26-(MAX(0,Asset_Model!$B$20-Asset_Model!$B$20*Inputs!$C$27*(1-1))-MAX(0,Asset_Model!$B$20-Asset_Model!$B$20*Inputs!$C$27*1))+IF(1=Inputs!$C$10,((IF(1&lt;Inputs!$C$23,0,Inputs!$C$15*(1+$D$6)^(1-Inputs!$C$23+1)))*$D$7)*$D$8-MAX(0,Asset_Model!$B$20-Asset_Model!$B$20*Inputs!$C$27*1),0))</x:f>
        <x:v>2236869.5250000004</x:v>
      </x:c>
      <x:c r="H7" s="275" t="n">
        <x:f>IF(2&gt;Inputs!$C$10,0,(IF(2&lt;Inputs!$C$23,0,Inputs!$C$15*(1+$D$6)^(2-Inputs!$C$23+1)))*$D$7-MAX(0,((IF(2&lt;Inputs!$C$23,0,Inputs!$C$15*(1+$D$6)^(2-Inputs!$C$23+1)))*$D$7-(IF(2&lt;Inputs!$C$23,0,Inputs!$C$15*(1+$D$6)^(2-Inputs!$C$23+1)))*Inputs!$C$19)*Inputs!$C$22)-(IF(2&lt;Inputs!$C$23,0,Inputs!$C$15*(1+$D$6)^(2-Inputs!$C$23+1)))*Inputs!$C$20-((IF(2&lt;Inputs!$C$23,0,Inputs!$C$15*(1+$D$6)^(2-Inputs!$C$23+1)))-(IF(2-1&lt;Inputs!$C$23,0,Inputs!$C$15*(1+$D$6)^(2-Inputs!$C$23))))*Inputs!$C$21-((MAX(0,Asset_Model!$B$20-Asset_Model!$B$20*Inputs!$C$27*(2-1))+MAX(0,Asset_Model!$B$20-Asset_Model!$B$20*Inputs!$C$27*2))/2)*'Inputs'!$C$26-(MAX(0,Asset_Model!$B$20-Asset_Model!$B$20*Inputs!$C$27*(2-1))-MAX(0,Asset_Model!$B$20-Asset_Model!$B$20*Inputs!$C$27*2))+IF(2=Inputs!$C$10,((IF(2&lt;Inputs!$C$23,0,Inputs!$C$15*(1+$D$6)^(2-Inputs!$C$23+1)))*$D$7)*$D$8-MAX(0,Asset_Model!$B$20-Asset_Model!$B$20*Inputs!$C$27*2),0))</x:f>
        <x:v>2412457.6193125</x:v>
      </x:c>
      <x:c r="I7" s="275" t="n">
        <x:f>IF(3&gt;Inputs!$C$10,0,(IF(3&lt;Inputs!$C$23,0,Inputs!$C$15*(1+$D$6)^(3-Inputs!$C$23+1)))*$D$7-MAX(0,((IF(3&lt;Inputs!$C$23,0,Inputs!$C$15*(1+$D$6)^(3-Inputs!$C$23+1)))*$D$7-(IF(3&lt;Inputs!$C$23,0,Inputs!$C$15*(1+$D$6)^(3-Inputs!$C$23+1)))*Inputs!$C$19)*Inputs!$C$22)-(IF(3&lt;Inputs!$C$23,0,Inputs!$C$15*(1+$D$6)^(3-Inputs!$C$23+1)))*Inputs!$C$20-((IF(3&lt;Inputs!$C$23,0,Inputs!$C$15*(1+$D$6)^(3-Inputs!$C$23+1)))-(IF(3-1&lt;Inputs!$C$23,0,Inputs!$C$15*(1+$D$6)^(3-Inputs!$C$23))))*Inputs!$C$21-((MAX(0,Asset_Model!$B$20-Asset_Model!$B$20*Inputs!$C$27*(3-1))+MAX(0,Asset_Model!$B$20-Asset_Model!$B$20*Inputs!$C$27*3))/2)*'Inputs'!$C$26-(MAX(0,Asset_Model!$B$20-Asset_Model!$B$20*Inputs!$C$27*(3-1))-MAX(0,Asset_Model!$B$20-Asset_Model!$B$20*Inputs!$C$27*3))+IF(3=Inputs!$C$10,((IF(3&lt;Inputs!$C$23,0,Inputs!$C$15*(1+$D$6)^(3-Inputs!$C$23+1)))*$D$7)*$D$8-MAX(0,Asset_Model!$B$20-Asset_Model!$B$20*Inputs!$C$27*3),0))</x:f>
        <x:v>2541160.580747031</x:v>
      </x:c>
      <x:c r="J7" s="275" t="n">
        <x:f>IF(4&gt;Inputs!$C$10,0,(IF(4&lt;Inputs!$C$23,0,Inputs!$C$15*(1+$D$6)^(4-Inputs!$C$23+1)))*$D$7-MAX(0,((IF(4&lt;Inputs!$C$23,0,Inputs!$C$15*(1+$D$6)^(4-Inputs!$C$23+1)))*$D$7-(IF(4&lt;Inputs!$C$23,0,Inputs!$C$15*(1+$D$6)^(4-Inputs!$C$23+1)))*Inputs!$C$19)*Inputs!$C$22)-(IF(4&lt;Inputs!$C$23,0,Inputs!$C$15*(1+$D$6)^(4-Inputs!$C$23+1)))*Inputs!$C$20-((IF(4&lt;Inputs!$C$23,0,Inputs!$C$15*(1+$D$6)^(4-Inputs!$C$23+1)))-(IF(4-1&lt;Inputs!$C$23,0,Inputs!$C$15*(1+$D$6)^(4-Inputs!$C$23))))*Inputs!$C$21-((MAX(0,Asset_Model!$B$20-Asset_Model!$B$20*Inputs!$C$27*(4-1))+MAX(0,Asset_Model!$B$20-Asset_Model!$B$20*Inputs!$C$27*4))/2)*'Inputs'!$C$26-(MAX(0,Asset_Model!$B$20-Asset_Model!$B$20*Inputs!$C$27*(4-1))-MAX(0,Asset_Model!$B$20-Asset_Model!$B$20*Inputs!$C$27*4))+IF(4=Inputs!$C$10,((IF(4&lt;Inputs!$C$23,0,Inputs!$C$15*(1+$D$6)^(4-Inputs!$C$23+1)))*$D$7)*$D$8-MAX(0,Asset_Model!$B$20-Asset_Model!$B$20*Inputs!$C$27*4),0))</x:f>
        <x:v>2671933.9688138394</x:v>
      </x:c>
      <x:c r="K7" s="275" t="n">
        <x:f>IF(5&gt;Inputs!$C$10,0,(IF(5&lt;Inputs!$C$23,0,Inputs!$C$15*(1+$D$6)^(5-Inputs!$C$23+1)))*$D$7-MAX(0,((IF(5&lt;Inputs!$C$23,0,Inputs!$C$15*(1+$D$6)^(5-Inputs!$C$23+1)))*$D$7-(IF(5&lt;Inputs!$C$23,0,Inputs!$C$15*(1+$D$6)^(5-Inputs!$C$23+1)))*Inputs!$C$19)*Inputs!$C$22)-(IF(5&lt;Inputs!$C$23,0,Inputs!$C$15*(1+$D$6)^(5-Inputs!$C$23+1)))*Inputs!$C$20-((IF(5&lt;Inputs!$C$23,0,Inputs!$C$15*(1+$D$6)^(5-Inputs!$C$23+1)))-(IF(5-1&lt;Inputs!$C$23,0,Inputs!$C$15*(1+$D$6)^(5-Inputs!$C$23))))*Inputs!$C$21-((MAX(0,Asset_Model!$B$20-Asset_Model!$B$20*Inputs!$C$27*(5-1))+MAX(0,Asset_Model!$B$20-Asset_Model!$B$20*Inputs!$C$27*5))/2)*'Inputs'!$C$26-(MAX(0,Asset_Model!$B$20-Asset_Model!$B$20*Inputs!$C$27*(5-1))-MAX(0,Asset_Model!$B$20-Asset_Model!$B$20*Inputs!$C$27*5))+IF(5=Inputs!$C$10,((IF(5&lt;Inputs!$C$23,0,Inputs!$C$15*(1+$D$6)^(5-Inputs!$C$23+1)))*$D$7)*$D$8-MAX(0,Asset_Model!$B$20-Asset_Model!$B$20*Inputs!$C$27*5),0))</x:f>
        <x:v>2804824.3681121506</x:v>
      </x:c>
      <x:c r="L7" s="275" t="n">
        <x:f>IF(6&gt;Inputs!$C$10,0,(IF(6&lt;Inputs!$C$23,0,Inputs!$C$15*(1+$D$6)^(6-Inputs!$C$23+1)))*$D$7-MAX(0,((IF(6&lt;Inputs!$C$23,0,Inputs!$C$15*(1+$D$6)^(6-Inputs!$C$23+1)))*$D$7-(IF(6&lt;Inputs!$C$23,0,Inputs!$C$15*(1+$D$6)^(6-Inputs!$C$23+1)))*Inputs!$C$19)*Inputs!$C$22)-(IF(6&lt;Inputs!$C$23,0,Inputs!$C$15*(1+$D$6)^(6-Inputs!$C$23+1)))*Inputs!$C$20-((IF(6&lt;Inputs!$C$23,0,Inputs!$C$15*(1+$D$6)^(6-Inputs!$C$23+1)))-(IF(6-1&lt;Inputs!$C$23,0,Inputs!$C$15*(1+$D$6)^(6-Inputs!$C$23))))*Inputs!$C$21-((MAX(0,Asset_Model!$B$20-Asset_Model!$B$20*Inputs!$C$27*(6-1))+MAX(0,Asset_Model!$B$20-Asset_Model!$B$20*Inputs!$C$27*6))/2)*'Inputs'!$C$26-(MAX(0,Asset_Model!$B$20-Asset_Model!$B$20*Inputs!$C$27*(6-1))-MAX(0,Asset_Model!$B$20-Asset_Model!$B$20*Inputs!$C$27*6))+IF(6=Inputs!$C$10,((IF(6&lt;Inputs!$C$23,0,Inputs!$C$15*(1+$D$6)^(6-Inputs!$C$23+1)))*$D$7)*$D$8-MAX(0,Asset_Model!$B$20-Asset_Model!$B$20*Inputs!$C$27*6),0))</x:f>
        <x:v>2939879.4113946743</x:v>
      </x:c>
      <x:c r="M7" s="275" t="n">
        <x:f>IF(7&gt;Inputs!$C$10,0,(IF(7&lt;Inputs!$C$23,0,Inputs!$C$15*(1+$D$6)^(7-Inputs!$C$23+1)))*$D$7-MAX(0,((IF(7&lt;Inputs!$C$23,0,Inputs!$C$15*(1+$D$6)^(7-Inputs!$C$23+1)))*$D$7-(IF(7&lt;Inputs!$C$23,0,Inputs!$C$15*(1+$D$6)^(7-Inputs!$C$23+1)))*Inputs!$C$19)*Inputs!$C$22)-(IF(7&lt;Inputs!$C$23,0,Inputs!$C$15*(1+$D$6)^(7-Inputs!$C$23+1)))*Inputs!$C$20-((IF(7&lt;Inputs!$C$23,0,Inputs!$C$15*(1+$D$6)^(7-Inputs!$C$23+1)))-(IF(7-1&lt;Inputs!$C$23,0,Inputs!$C$15*(1+$D$6)^(7-Inputs!$C$23))))*Inputs!$C$21-((MAX(0,Asset_Model!$B$20-Asset_Model!$B$20*Inputs!$C$27*(7-1))+MAX(0,Asset_Model!$B$20-Asset_Model!$B$20*Inputs!$C$27*7))/2)*'Inputs'!$C$26-(MAX(0,Asset_Model!$B$20-Asset_Model!$B$20*Inputs!$C$27*(7-1))-MAX(0,Asset_Model!$B$20-Asset_Model!$B$20*Inputs!$C$27*7))+IF(7=Inputs!$C$10,((IF(7&lt;Inputs!$C$23,0,Inputs!$C$15*(1+$D$6)^(7-Inputs!$C$23+1)))*$D$7)*$D$8-MAX(0,Asset_Model!$B$20-Asset_Model!$B$20*Inputs!$C$27*7),0))</x:f>
        <x:v>3077147.8031510543</x:v>
      </x:c>
      <x:c r="N7" s="275" t="n">
        <x:f>IF(8&gt;Inputs!$C$10,0,(IF(8&lt;Inputs!$C$23,0,Inputs!$C$15*(1+$D$6)^(8-Inputs!$C$23+1)))*$D$7-MAX(0,((IF(8&lt;Inputs!$C$23,0,Inputs!$C$15*(1+$D$6)^(8-Inputs!$C$23+1)))*$D$7-(IF(8&lt;Inputs!$C$23,0,Inputs!$C$15*(1+$D$6)^(8-Inputs!$C$23+1)))*Inputs!$C$19)*Inputs!$C$22)-(IF(8&lt;Inputs!$C$23,0,Inputs!$C$15*(1+$D$6)^(8-Inputs!$C$23+1)))*Inputs!$C$20-((IF(8&lt;Inputs!$C$23,0,Inputs!$C$15*(1+$D$6)^(8-Inputs!$C$23+1)))-(IF(8-1&lt;Inputs!$C$23,0,Inputs!$C$15*(1+$D$6)^(8-Inputs!$C$23))))*Inputs!$C$21-((MAX(0,Asset_Model!$B$20-Asset_Model!$B$20*Inputs!$C$27*(8-1))+MAX(0,Asset_Model!$B$20-Asset_Model!$B$20*Inputs!$C$27*8))/2)*'Inputs'!$C$26-(MAX(0,Asset_Model!$B$20-Asset_Model!$B$20*Inputs!$C$27*(8-1))-MAX(0,Asset_Model!$B$20-Asset_Model!$B$20*Inputs!$C$27*8))+IF(8=Inputs!$C$10,((IF(8&lt;Inputs!$C$23,0,Inputs!$C$15*(1+$D$6)^(8-Inputs!$C$23+1)))*$D$7)*$D$8-MAX(0,Asset_Model!$B$20-Asset_Model!$B$20*Inputs!$C$27*8),0))</x:f>
        <x:v>3216679.3437219523</x:v>
      </x:c>
      <x:c r="O7" s="275" t="n">
        <x:f>IF(9&gt;Inputs!$C$10,0,(IF(9&lt;Inputs!$C$23,0,Inputs!$C$15*(1+$D$6)^(9-Inputs!$C$23+1)))*$D$7-MAX(0,((IF(9&lt;Inputs!$C$23,0,Inputs!$C$15*(1+$D$6)^(9-Inputs!$C$23+1)))*$D$7-(IF(9&lt;Inputs!$C$23,0,Inputs!$C$15*(1+$D$6)^(9-Inputs!$C$23+1)))*Inputs!$C$19)*Inputs!$C$22)-(IF(9&lt;Inputs!$C$23,0,Inputs!$C$15*(1+$D$6)^(9-Inputs!$C$23+1)))*Inputs!$C$20-((IF(9&lt;Inputs!$C$23,0,Inputs!$C$15*(1+$D$6)^(9-Inputs!$C$23+1)))-(IF(9-1&lt;Inputs!$C$23,0,Inputs!$C$15*(1+$D$6)^(9-Inputs!$C$23))))*Inputs!$C$21-((MAX(0,Asset_Model!$B$20-Asset_Model!$B$20*Inputs!$C$27*(9-1))+MAX(0,Asset_Model!$B$20-Asset_Model!$B$20*Inputs!$C$27*9))/2)*'Inputs'!$C$26-(MAX(0,Asset_Model!$B$20-Asset_Model!$B$20*Inputs!$C$27*(9-1))-MAX(0,Asset_Model!$B$20-Asset_Model!$B$20*Inputs!$C$27*9))+IF(9=Inputs!$C$10,((IF(9&lt;Inputs!$C$23,0,Inputs!$C$15*(1+$D$6)^(9-Inputs!$C$23+1)))*$D$7)*$D$8-MAX(0,Asset_Model!$B$20-Asset_Model!$B$20*Inputs!$C$27*9),0))</x:f>
        <x:v>3358524.953955696</x:v>
      </x:c>
      <x:c r="P7" s="275" t="n">
        <x:f>IF(10&gt;Inputs!$C$10,0,(IF(10&lt;Inputs!$C$23,0,Inputs!$C$15*(1+$D$6)^(10-Inputs!$C$23+1)))*$D$7-MAX(0,((IF(10&lt;Inputs!$C$23,0,Inputs!$C$15*(1+$D$6)^(10-Inputs!$C$23+1)))*$D$7-(IF(10&lt;Inputs!$C$23,0,Inputs!$C$15*(1+$D$6)^(10-Inputs!$C$23+1)))*Inputs!$C$19)*Inputs!$C$22)-(IF(10&lt;Inputs!$C$23,0,Inputs!$C$15*(1+$D$6)^(10-Inputs!$C$23+1)))*Inputs!$C$20-((IF(10&lt;Inputs!$C$23,0,Inputs!$C$15*(1+$D$6)^(10-Inputs!$C$23+1)))-(IF(10-1&lt;Inputs!$C$23,0,Inputs!$C$15*(1+$D$6)^(10-Inputs!$C$23))))*Inputs!$C$21-((MAX(0,Asset_Model!$B$20-Asset_Model!$B$20*Inputs!$C$27*(10-1))+MAX(0,Asset_Model!$B$20-Asset_Model!$B$20*Inputs!$C$27*10))/2)*'Inputs'!$C$26-(MAX(0,Asset_Model!$B$20-Asset_Model!$B$20*Inputs!$C$27*(10-1))-MAX(0,Asset_Model!$B$20-Asset_Model!$B$20*Inputs!$C$27*10))+IF(10=Inputs!$C$10,((IF(10&lt;Inputs!$C$23,0,Inputs!$C$15*(1+$D$6)^(10-Inputs!$C$23+1)))*$D$7)*$D$8-MAX(0,Asset_Model!$B$20-Asset_Model!$B$20*Inputs!$C$27*10),0))</x:f>
        <x:v>3502736.700419699</x:v>
      </x:c>
      <x:c r="Q7" s="275" t="n">
        <x:f>IF(11&gt;Inputs!$C$10,0,(IF(11&lt;Inputs!$C$23,0,Inputs!$C$15*(1+$D$6)^(11-Inputs!$C$23+1)))*$D$7-MAX(0,((IF(11&lt;Inputs!$C$23,0,Inputs!$C$15*(1+$D$6)^(11-Inputs!$C$23+1)))*$D$7-(IF(11&lt;Inputs!$C$23,0,Inputs!$C$15*(1+$D$6)^(11-Inputs!$C$23+1)))*Inputs!$C$19)*Inputs!$C$22)-(IF(11&lt;Inputs!$C$23,0,Inputs!$C$15*(1+$D$6)^(11-Inputs!$C$23+1)))*Inputs!$C$20-((IF(11&lt;Inputs!$C$23,0,Inputs!$C$15*(1+$D$6)^(11-Inputs!$C$23+1)))-(IF(11-1&lt;Inputs!$C$23,0,Inputs!$C$15*(1+$D$6)^(11-Inputs!$C$23))))*Inputs!$C$21-((MAX(0,Asset_Model!$B$20-Asset_Model!$B$20*Inputs!$C$27*(11-1))+MAX(0,Asset_Model!$B$20-Asset_Model!$B$20*Inputs!$C$27*11))/2)*'Inputs'!$C$26-(MAX(0,Asset_Model!$B$20-Asset_Model!$B$20*Inputs!$C$27*(11-1))-MAX(0,Asset_Model!$B$20-Asset_Model!$B$20*Inputs!$C$27*11))+IF(11=Inputs!$C$10,((IF(11&lt;Inputs!$C$23,0,Inputs!$C$15*(1+$D$6)^(11-Inputs!$C$23+1)))*$D$7)*$D$8-MAX(0,Asset_Model!$B$20-Asset_Model!$B$20*Inputs!$C$27*11),0))</x:f>
        <x:v>3649367.8211791413</x:v>
      </x:c>
      <x:c r="R7" s="275" t="n">
        <x:f>IF(12&gt;Inputs!$C$10,0,(IF(12&lt;Inputs!$C$23,0,Inputs!$C$15*(1+$D$6)^(12-Inputs!$C$23+1)))*$D$7-MAX(0,((IF(12&lt;Inputs!$C$23,0,Inputs!$C$15*(1+$D$6)^(12-Inputs!$C$23+1)))*$D$7-(IF(12&lt;Inputs!$C$23,0,Inputs!$C$15*(1+$D$6)^(12-Inputs!$C$23+1)))*Inputs!$C$19)*Inputs!$C$22)-(IF(12&lt;Inputs!$C$23,0,Inputs!$C$15*(1+$D$6)^(12-Inputs!$C$23+1)))*Inputs!$C$20-((IF(12&lt;Inputs!$C$23,0,Inputs!$C$15*(1+$D$6)^(12-Inputs!$C$23+1)))-(IF(12-1&lt;Inputs!$C$23,0,Inputs!$C$15*(1+$D$6)^(12-Inputs!$C$23))))*Inputs!$C$21-((MAX(0,Asset_Model!$B$20-Asset_Model!$B$20*Inputs!$C$27*(12-1))+MAX(0,Asset_Model!$B$20-Asset_Model!$B$20*Inputs!$C$27*12))/2)*'Inputs'!$C$26-(MAX(0,Asset_Model!$B$20-Asset_Model!$B$20*Inputs!$C$27*(12-1))-MAX(0,Asset_Model!$B$20-Asset_Model!$B$20*Inputs!$C$27*12))+IF(12=Inputs!$C$10,((IF(12&lt;Inputs!$C$23,0,Inputs!$C$15*(1+$D$6)^(12-Inputs!$C$23+1)))*$D$7)*$D$8-MAX(0,Asset_Model!$B$20-Asset_Model!$B$20*Inputs!$C$27*12),0))</x:f>
        <x:v>3798472.7521556728</x:v>
      </x:c>
      <x:c r="S7" s="275" t="n">
        <x:f>IF(13&gt;Inputs!$C$10,0,(IF(13&lt;Inputs!$C$23,0,Inputs!$C$15*(1+$D$6)^(13-Inputs!$C$23+1)))*$D$7-MAX(0,((IF(13&lt;Inputs!$C$23,0,Inputs!$C$15*(1+$D$6)^(13-Inputs!$C$23+1)))*$D$7-(IF(13&lt;Inputs!$C$23,0,Inputs!$C$15*(1+$D$6)^(13-Inputs!$C$23+1)))*Inputs!$C$19)*Inputs!$C$22)-(IF(13&lt;Inputs!$C$23,0,Inputs!$C$15*(1+$D$6)^(13-Inputs!$C$23+1)))*Inputs!$C$20-((IF(13&lt;Inputs!$C$23,0,Inputs!$C$15*(1+$D$6)^(13-Inputs!$C$23+1)))-(IF(13-1&lt;Inputs!$C$23,0,Inputs!$C$15*(1+$D$6)^(13-Inputs!$C$23))))*Inputs!$C$21-((MAX(0,Asset_Model!$B$20-Asset_Model!$B$20*Inputs!$C$27*(13-1))+MAX(0,Asset_Model!$B$20-Asset_Model!$B$20*Inputs!$C$27*13))/2)*'Inputs'!$C$26-(MAX(0,Asset_Model!$B$20-Asset_Model!$B$20*Inputs!$C$27*(13-1))-MAX(0,Asset_Model!$B$20-Asset_Model!$B$20*Inputs!$C$27*13))+IF(13=Inputs!$C$10,((IF(13&lt;Inputs!$C$23,0,Inputs!$C$15*(1+$D$6)^(13-Inputs!$C$23+1)))*$D$7)*$D$8-MAX(0,Asset_Model!$B$20-Asset_Model!$B$20*Inputs!$C$27*13),0))</x:f>
        <x:v>3950107.1540791746</x:v>
      </x:c>
      <x:c r="T7" s="275" t="n">
        <x:f>IF(14&gt;Inputs!$C$10,0,(IF(14&lt;Inputs!$C$23,0,Inputs!$C$15*(1+$D$6)^(14-Inputs!$C$23+1)))*$D$7-MAX(0,((IF(14&lt;Inputs!$C$23,0,Inputs!$C$15*(1+$D$6)^(14-Inputs!$C$23+1)))*$D$7-(IF(14&lt;Inputs!$C$23,0,Inputs!$C$15*(1+$D$6)^(14-Inputs!$C$23+1)))*Inputs!$C$19)*Inputs!$C$22)-(IF(14&lt;Inputs!$C$23,0,Inputs!$C$15*(1+$D$6)^(14-Inputs!$C$23+1)))*Inputs!$C$20-((IF(14&lt;Inputs!$C$23,0,Inputs!$C$15*(1+$D$6)^(14-Inputs!$C$23+1)))-(IF(14-1&lt;Inputs!$C$23,0,Inputs!$C$15*(1+$D$6)^(14-Inputs!$C$23))))*Inputs!$C$21-((MAX(0,Asset_Model!$B$20-Asset_Model!$B$20*Inputs!$C$27*(14-1))+MAX(0,Asset_Model!$B$20-Asset_Model!$B$20*Inputs!$C$27*14))/2)*'Inputs'!$C$26-(MAX(0,Asset_Model!$B$20-Asset_Model!$B$20*Inputs!$C$27*(14-1))-MAX(0,Asset_Model!$B$20-Asset_Model!$B$20*Inputs!$C$27*14))+IF(14=Inputs!$C$10,((IF(14&lt;Inputs!$C$23,0,Inputs!$C$15*(1+$D$6)^(14-Inputs!$C$23+1)))*$D$7)*$D$8-MAX(0,Asset_Model!$B$20-Asset_Model!$B$20*Inputs!$C$27*14),0))</x:f>
        <x:v>4104327.9400459556</x:v>
      </x:c>
      <x:c r="U7" s="275" t="n">
        <x:f>IF(15&gt;Inputs!$C$10,0,(IF(15&lt;Inputs!$C$23,0,Inputs!$C$15*(1+$D$6)^(15-Inputs!$C$23+1)))*$D$7-MAX(0,((IF(15&lt;Inputs!$C$23,0,Inputs!$C$15*(1+$D$6)^(15-Inputs!$C$23+1)))*$D$7-(IF(15&lt;Inputs!$C$23,0,Inputs!$C$15*(1+$D$6)^(15-Inputs!$C$23+1)))*Inputs!$C$19)*Inputs!$C$22)-(IF(15&lt;Inputs!$C$23,0,Inputs!$C$15*(1+$D$6)^(15-Inputs!$C$23+1)))*Inputs!$C$20-((IF(15&lt;Inputs!$C$23,0,Inputs!$C$15*(1+$D$6)^(15-Inputs!$C$23+1)))-(IF(15-1&lt;Inputs!$C$23,0,Inputs!$C$15*(1+$D$6)^(15-Inputs!$C$23))))*Inputs!$C$21-((MAX(0,Asset_Model!$B$20-Asset_Model!$B$20*Inputs!$C$27*(15-1))+MAX(0,Asset_Model!$B$20-Asset_Model!$B$20*Inputs!$C$27*15))/2)*'Inputs'!$C$26-(MAX(0,Asset_Model!$B$20-Asset_Model!$B$20*Inputs!$C$27*(15-1))-MAX(0,Asset_Model!$B$20-Asset_Model!$B$20*Inputs!$C$27*15))+IF(15=Inputs!$C$10,((IF(15&lt;Inputs!$C$23,0,Inputs!$C$15*(1+$D$6)^(15-Inputs!$C$23+1)))*$D$7)*$D$8-MAX(0,Asset_Model!$B$20-Asset_Model!$B$20*Inputs!$C$27*15),0))</x:f>
        <x:v>4261193.30369699</x:v>
      </x:c>
      <x:c r="V7" s="275" t="n">
        <x:f>IF(16&gt;Inputs!$C$10,0,(IF(16&lt;Inputs!$C$23,0,Inputs!$C$15*(1+$D$6)^(16-Inputs!$C$23+1)))*$D$7-MAX(0,((IF(16&lt;Inputs!$C$23,0,Inputs!$C$15*(1+$D$6)^(16-Inputs!$C$23+1)))*$D$7-(IF(16&lt;Inputs!$C$23,0,Inputs!$C$15*(1+$D$6)^(16-Inputs!$C$23+1)))*Inputs!$C$19)*Inputs!$C$22)-(IF(16&lt;Inputs!$C$23,0,Inputs!$C$15*(1+$D$6)^(16-Inputs!$C$23+1)))*Inputs!$C$20-((IF(16&lt;Inputs!$C$23,0,Inputs!$C$15*(1+$D$6)^(16-Inputs!$C$23+1)))-(IF(16-1&lt;Inputs!$C$23,0,Inputs!$C$15*(1+$D$6)^(16-Inputs!$C$23))))*Inputs!$C$21-((MAX(0,Asset_Model!$B$20-Asset_Model!$B$20*Inputs!$C$27*(16-1))+MAX(0,Asset_Model!$B$20-Asset_Model!$B$20*Inputs!$C$27*16))/2)*'Inputs'!$C$26-(MAX(0,Asset_Model!$B$20-Asset_Model!$B$20*Inputs!$C$27*(16-1))-MAX(0,Asset_Model!$B$20-Asset_Model!$B$20*Inputs!$C$27*16))+IF(16=Inputs!$C$10,((IF(16&lt;Inputs!$C$23,0,Inputs!$C$15*(1+$D$6)^(16-Inputs!$C$23+1)))*$D$7)*$D$8-MAX(0,Asset_Model!$B$20-Asset_Model!$B$20*Inputs!$C$27*16),0))</x:f>
        <x:v>4420762.748030172</x:v>
      </x:c>
      <x:c r="W7" s="275" t="n">
        <x:f>IF(17&gt;Inputs!$C$10,0,(IF(17&lt;Inputs!$C$23,0,Inputs!$C$15*(1+$D$6)^(17-Inputs!$C$23+1)))*$D$7-MAX(0,((IF(17&lt;Inputs!$C$23,0,Inputs!$C$15*(1+$D$6)^(17-Inputs!$C$23+1)))*$D$7-(IF(17&lt;Inputs!$C$23,0,Inputs!$C$15*(1+$D$6)^(17-Inputs!$C$23+1)))*Inputs!$C$19)*Inputs!$C$22)-(IF(17&lt;Inputs!$C$23,0,Inputs!$C$15*(1+$D$6)^(17-Inputs!$C$23+1)))*Inputs!$C$20-((IF(17&lt;Inputs!$C$23,0,Inputs!$C$15*(1+$D$6)^(17-Inputs!$C$23+1)))-(IF(17-1&lt;Inputs!$C$23,0,Inputs!$C$15*(1+$D$6)^(17-Inputs!$C$23))))*Inputs!$C$21-((MAX(0,Asset_Model!$B$20-Asset_Model!$B$20*Inputs!$C$27*(17-1))+MAX(0,Asset_Model!$B$20-Asset_Model!$B$20*Inputs!$C$27*17))/2)*'Inputs'!$C$26-(MAX(0,Asset_Model!$B$20-Asset_Model!$B$20*Inputs!$C$27*(17-1))-MAX(0,Asset_Model!$B$20-Asset_Model!$B$20*Inputs!$C$27*17))+IF(17=Inputs!$C$10,((IF(17&lt;Inputs!$C$23,0,Inputs!$C$15*(1+$D$6)^(17-Inputs!$C$23+1)))*$D$7)*$D$8-MAX(0,Asset_Model!$B$20-Asset_Model!$B$20*Inputs!$C$27*17),0))</x:f>
        <x:v>4583097.114860851</x:v>
      </x:c>
      <x:c r="X7" s="275" t="n">
        <x:f>IF(18&gt;Inputs!$C$10,0,(IF(18&lt;Inputs!$C$23,0,Inputs!$C$15*(1+$D$6)^(18-Inputs!$C$23+1)))*$D$7-MAX(0,((IF(18&lt;Inputs!$C$23,0,Inputs!$C$15*(1+$D$6)^(18-Inputs!$C$23+1)))*$D$7-(IF(18&lt;Inputs!$C$23,0,Inputs!$C$15*(1+$D$6)^(18-Inputs!$C$23+1)))*Inputs!$C$19)*Inputs!$C$22)-(IF(18&lt;Inputs!$C$23,0,Inputs!$C$15*(1+$D$6)^(18-Inputs!$C$23+1)))*Inputs!$C$20-((IF(18&lt;Inputs!$C$23,0,Inputs!$C$15*(1+$D$6)^(18-Inputs!$C$23+1)))-(IF(18-1&lt;Inputs!$C$23,0,Inputs!$C$15*(1+$D$6)^(18-Inputs!$C$23))))*Inputs!$C$21-((MAX(0,Asset_Model!$B$20-Asset_Model!$B$20*Inputs!$C$27*(18-1))+MAX(0,Asset_Model!$B$20-Asset_Model!$B$20*Inputs!$C$27*18))/2)*'Inputs'!$C$26-(MAX(0,Asset_Model!$B$20-Asset_Model!$B$20*Inputs!$C$27*(18-1))-MAX(0,Asset_Model!$B$20-Asset_Model!$B$20*Inputs!$C$27*18))+IF(18=Inputs!$C$10,((IF(18&lt;Inputs!$C$23,0,Inputs!$C$15*(1+$D$6)^(18-Inputs!$C$23+1)))*$D$7)*$D$8-MAX(0,Asset_Model!$B$20-Asset_Model!$B$20*Inputs!$C$27*18),0))</x:f>
        <x:v>4748258.61494522</x:v>
      </x:c>
      <x:c r="Y7" s="275" t="n">
        <x:f>IF(19&gt;Inputs!$C$10,0,(IF(19&lt;Inputs!$C$23,0,Inputs!$C$15*(1+$D$6)^(19-Inputs!$C$23+1)))*$D$7-MAX(0,((IF(19&lt;Inputs!$C$23,0,Inputs!$C$15*(1+$D$6)^(19-Inputs!$C$23+1)))*$D$7-(IF(19&lt;Inputs!$C$23,0,Inputs!$C$15*(1+$D$6)^(19-Inputs!$C$23+1)))*Inputs!$C$19)*Inputs!$C$22)-(IF(19&lt;Inputs!$C$23,0,Inputs!$C$15*(1+$D$6)^(19-Inputs!$C$23+1)))*Inputs!$C$20-((IF(19&lt;Inputs!$C$23,0,Inputs!$C$15*(1+$D$6)^(19-Inputs!$C$23+1)))-(IF(19-1&lt;Inputs!$C$23,0,Inputs!$C$15*(1+$D$6)^(19-Inputs!$C$23))))*Inputs!$C$21-((MAX(0,Asset_Model!$B$20-Asset_Model!$B$20*Inputs!$C$27*(19-1))+MAX(0,Asset_Model!$B$20-Asset_Model!$B$20*Inputs!$C$27*19))/2)*'Inputs'!$C$26-(MAX(0,Asset_Model!$B$20-Asset_Model!$B$20*Inputs!$C$27*(19-1))-MAX(0,Asset_Model!$B$20-Asset_Model!$B$20*Inputs!$C$27*19))+IF(19=Inputs!$C$10,((IF(19&lt;Inputs!$C$23,0,Inputs!$C$15*(1+$D$6)^(19-Inputs!$C$23+1)))*$D$7)*$D$8-MAX(0,Asset_Model!$B$20-Asset_Model!$B$20*Inputs!$C$27*19),0))</x:f>
        <x:v>4916310.858781487</x:v>
      </x:c>
      <x:c r="Z7" s="275" t="n">
        <x:f>IF(20&gt;Inputs!$C$10,0,(IF(20&lt;Inputs!$C$23,0,Inputs!$C$15*(1+$D$6)^(20-Inputs!$C$23+1)))*$D$7-MAX(0,((IF(20&lt;Inputs!$C$23,0,Inputs!$C$15*(1+$D$6)^(20-Inputs!$C$23+1)))*$D$7-(IF(20&lt;Inputs!$C$23,0,Inputs!$C$15*(1+$D$6)^(20-Inputs!$C$23+1)))*Inputs!$C$19)*Inputs!$C$22)-(IF(20&lt;Inputs!$C$23,0,Inputs!$C$15*(1+$D$6)^(20-Inputs!$C$23+1)))*Inputs!$C$20-((IF(20&lt;Inputs!$C$23,0,Inputs!$C$15*(1+$D$6)^(20-Inputs!$C$23+1)))-(IF(20-1&lt;Inputs!$C$23,0,Inputs!$C$15*(1+$D$6)^(20-Inputs!$C$23))))*Inputs!$C$21-((MAX(0,Asset_Model!$B$20-Asset_Model!$B$20*Inputs!$C$27*(20-1))+MAX(0,Asset_Model!$B$20-Asset_Model!$B$20*Inputs!$C$27*20))/2)*'Inputs'!$C$26-(MAX(0,Asset_Model!$B$20-Asset_Model!$B$20*Inputs!$C$27*(20-1))-MAX(0,Asset_Model!$B$20-Asset_Model!$B$20*Inputs!$C$27*20))+IF(20=Inputs!$C$10,((IF(20&lt;Inputs!$C$23,0,Inputs!$C$15*(1+$D$6)^(20-Inputs!$C$23+1)))*$D$7)*$D$8-MAX(0,Asset_Model!$B$20-Asset_Model!$B$20*Inputs!$C$27*20),0))</x:f>
        <x:v>54533878.02320352</x:v>
      </x:c>
    </x:row>
    <x:row r="8">
      <x:c r="A8" s="268" t="s">
        <x:v>57</x:v>
      </x:c>
      <x:c r="B8" s="321" t="n">
        <x:f>MAX(0,Inputs!C35+Inputs!C47)</x:f>
        <x:v>5</x:v>
      </x:c>
      <x:c r="C8" s="321" t="n">
        <x:f>Inputs!C35</x:f>
        <x:v>7</x:v>
      </x:c>
      <x:c r="D8" s="321" t="n">
        <x:f>Inputs!C35+Inputs!C48</x:f>
        <x:v>8.5</x:v>
      </x:c>
      <x:c r="E8" s="301"/>
      <x:c r="F8" s="301"/>
      <x:c r="G8" s="301"/>
      <x:c r="H8" s="301"/>
      <x:c r="I8" s="301"/>
      <x:c r="J8" s="301"/>
      <x:c r="K8" s="301"/>
      <x:c r="L8" s="301"/>
      <x:c r="M8" s="301"/>
      <x:c r="N8" s="301"/>
      <x:c r="O8" s="301"/>
      <x:c r="P8" s="301"/>
      <x:c r="Q8" s="302"/>
      <x:c r="R8" s="302"/>
      <x:c r="S8" s="302"/>
      <x:c r="T8" s="302"/>
      <x:c r="U8" s="302"/>
      <x:c r="V8" s="302"/>
      <x:c r="W8" s="302"/>
      <x:c r="X8" s="302"/>
      <x:c r="Y8" s="302"/>
      <x:c r="Z8" s="302"/>
    </x:row>
    <x:row r="9">
      <x:c r="A9" s="268" t="s">
        <x:v>126</x:v>
      </x:c>
      <x:c r="B9" s="322" t="n">
        <x:f>IF(Inputs!$C$10&lt;1,"",IFERROR(IRR(F5:Z5),-100%))</x:f>
        <x:v>0.06361806618748357</x:v>
      </x:c>
      <x:c r="C9" s="322" t="n">
        <x:f>IF('Inputs'!$C$10&lt;1,"",IFERROR(IRR(F6:Z6),-100%))</x:f>
        <x:v>0.11027293012740177</x:v>
      </x:c>
      <x:c r="D9" s="322" t="n">
        <x:f>IF(Inputs!$C$10&lt;1,"",IFERROR(IRR(F7:Z7),-100%))</x:f>
        <x:v>0.14122460856946212</x:v>
      </x:c>
      <x:c r="E9" s="301"/>
      <x:c r="F9" s="301"/>
      <x:c r="G9" s="301"/>
      <x:c r="H9" s="301"/>
      <x:c r="I9" s="301"/>
      <x:c r="J9" s="301"/>
      <x:c r="K9" s="301"/>
      <x:c r="L9" s="301"/>
      <x:c r="M9" s="301"/>
      <x:c r="N9" s="301"/>
      <x:c r="O9" s="301"/>
      <x:c r="P9" s="301"/>
      <x:c r="Q9" s="302"/>
      <x:c r="R9" s="302"/>
      <x:c r="S9" s="302"/>
      <x:c r="T9" s="302"/>
      <x:c r="U9" s="302"/>
      <x:c r="V9" s="302"/>
      <x:c r="W9" s="302"/>
      <x:c r="X9" s="302"/>
      <x:c r="Y9" s="302"/>
      <x:c r="Z9" s="302"/>
    </x:row>
    <x:row r="10">
      <x:c r="A10" s="268" t="s">
        <x:v>179</x:v>
      </x:c>
      <x:c r="B10" s="339" t="n">
        <x:f>F5+NPV(Inputs!$C$33,G5:Z5)</x:f>
        <x:v>-3437356.3196675032</x:v>
      </x:c>
      <x:c r="C10" s="339" t="n">
        <x:f>F6+NPV('Inputs'!$C$33,G6:Z6)</x:f>
        <x:v>8022572.203016475</x:v>
      </x:c>
      <x:c r="D10" s="339" t="n">
        <x:f>F7+NPV(Inputs!$C$33,G7:Z7)</x:f>
        <x:v>19051417.63311518</x:v>
      </x:c>
      <x:c r="E10" s="301"/>
      <x:c r="F10" s="301"/>
      <x:c r="G10" s="301"/>
      <x:c r="H10" s="301"/>
      <x:c r="I10" s="301"/>
      <x:c r="J10" s="301"/>
      <x:c r="K10" s="301"/>
      <x:c r="L10" s="301"/>
      <x:c r="M10" s="301"/>
      <x:c r="N10" s="301"/>
      <x:c r="O10" s="301"/>
      <x:c r="P10" s="301"/>
      <x:c r="Q10" s="302"/>
      <x:c r="R10" s="302"/>
      <x:c r="S10" s="302"/>
      <x:c r="T10" s="302"/>
      <x:c r="U10" s="302"/>
      <x:c r="V10" s="302"/>
      <x:c r="W10" s="302"/>
      <x:c r="X10" s="302"/>
      <x:c r="Y10" s="302"/>
      <x:c r="Z10" s="302"/>
    </x:row>
    <x:row r="11">
      <x:c r="A11" s="268"/>
      <x:c r="B11" s="301"/>
      <x:c r="C11" s="301"/>
      <x:c r="D11" s="301"/>
      <x:c r="E11" s="301"/>
      <x:c r="F11" s="301"/>
      <x:c r="G11" s="301"/>
      <x:c r="H11" s="301"/>
      <x:c r="I11" s="301"/>
      <x:c r="J11" s="301"/>
      <x:c r="K11" s="301"/>
      <x:c r="L11" s="301"/>
      <x:c r="M11" s="301"/>
      <x:c r="N11" s="301"/>
      <x:c r="O11" s="301"/>
      <x:c r="P11" s="301"/>
      <x:c r="Q11" s="302"/>
      <x:c r="R11" s="302"/>
      <x:c r="S11" s="302"/>
      <x:c r="T11" s="302"/>
      <x:c r="U11" s="302"/>
      <x:c r="V11" s="302"/>
      <x:c r="W11" s="302"/>
      <x:c r="X11" s="302"/>
      <x:c r="Y11" s="302"/>
      <x:c r="Z11" s="302"/>
    </x:row>
    <x:row r="12">
      <x:c r="A12" s="335" t="s">
        <x:v>180</x:v>
      </x:c>
      <x:c r="B12" s="340"/>
      <x:c r="C12" s="340"/>
      <x:c r="D12" s="340"/>
      <x:c r="E12" s="301"/>
      <x:c r="F12" s="301"/>
      <x:c r="G12" s="301"/>
      <x:c r="H12" s="301"/>
      <x:c r="I12" s="301"/>
      <x:c r="J12" s="301"/>
      <x:c r="K12" s="301"/>
      <x:c r="L12" s="301"/>
      <x:c r="M12" s="301"/>
      <x:c r="N12" s="301"/>
      <x:c r="O12" s="301"/>
      <x:c r="P12" s="301"/>
      <x:c r="Q12" s="302"/>
      <x:c r="R12" s="302"/>
      <x:c r="S12" s="302"/>
      <x:c r="T12" s="302"/>
      <x:c r="U12" s="302"/>
      <x:c r="V12" s="302"/>
      <x:c r="W12" s="302"/>
      <x:c r="X12" s="302"/>
      <x:c r="Y12" s="302"/>
      <x:c r="Z12" s="302"/>
    </x:row>
    <x:row r="13">
      <x:c r="A13" s="330" t="s">
        <x:v>181</x:v>
      </x:c>
      <x:c r="B13" s="332" t="s">
        <x:v>2</x:v>
      </x:c>
      <x:c r="C13" s="301"/>
      <x:c r="D13" s="301"/>
      <x:c r="E13" s="301"/>
      <x:c r="F13" s="301"/>
      <x:c r="G13" s="301"/>
      <x:c r="H13" s="301"/>
      <x:c r="I13" s="301"/>
      <x:c r="J13" s="301"/>
      <x:c r="K13" s="301"/>
      <x:c r="L13" s="301"/>
      <x:c r="M13" s="301"/>
      <x:c r="N13" s="301"/>
      <x:c r="O13" s="301"/>
      <x:c r="P13" s="301"/>
      <x:c r="Q13" s="302"/>
      <x:c r="R13" s="302"/>
      <x:c r="S13" s="302"/>
      <x:c r="T13" s="302"/>
      <x:c r="U13" s="302"/>
      <x:c r="V13" s="302"/>
      <x:c r="W13" s="302"/>
      <x:c r="X13" s="302"/>
      <x:c r="Y13" s="302"/>
      <x:c r="Z13" s="302"/>
    </x:row>
    <x:row r="14">
      <x:c r="A14" s="268" t="s">
        <x:v>182</x:v>
      </x:c>
      <x:c r="B14" s="322" t="n">
        <x:f>SUMPRODUCT(B5:D5,B9:D9)</x:f>
        <x:v>0.1047995498308343</x:v>
      </x:c>
      <x:c r="C14" s="301"/>
      <x:c r="D14" s="301"/>
      <x:c r="E14" s="301"/>
      <x:c r="F14" s="301"/>
      <x:c r="G14" s="301"/>
      <x:c r="H14" s="301"/>
      <x:c r="I14" s="301"/>
      <x:c r="J14" s="301"/>
      <x:c r="K14" s="301"/>
      <x:c r="L14" s="301"/>
      <x:c r="M14" s="301"/>
      <x:c r="N14" s="301"/>
      <x:c r="O14" s="301"/>
      <x:c r="P14" s="301"/>
      <x:c r="Q14" s="302"/>
      <x:c r="R14" s="302"/>
      <x:c r="S14" s="302"/>
      <x:c r="T14" s="302"/>
      <x:c r="U14" s="302"/>
      <x:c r="V14" s="302"/>
      <x:c r="W14" s="302"/>
      <x:c r="X14" s="302"/>
      <x:c r="Y14" s="302"/>
      <x:c r="Z14" s="302"/>
    </x:row>
    <x:row r="15">
      <x:c r="A15" s="268" t="s">
        <x:v>183</x:v>
      </x:c>
      <x:c r="B15" s="322" t="n">
        <x:f>IF(Inputs!C10&lt;1,"",SQRT(B5*(N(B9)-N(B14))^2+C5*(N(C9)-N(B14))^2+D5*(N(D9)-N(B14))^2))</x:f>
        <x:v>0.026567131386703333</x:v>
      </x:c>
      <x:c r="C15" s="301"/>
      <x:c r="D15" s="301"/>
      <x:c r="E15" s="301"/>
      <x:c r="F15" s="301"/>
      <x:c r="G15" s="301"/>
      <x:c r="H15" s="301"/>
      <x:c r="I15" s="301"/>
      <x:c r="J15" s="301"/>
      <x:c r="K15" s="301"/>
      <x:c r="L15" s="301"/>
      <x:c r="M15" s="301"/>
      <x:c r="N15" s="301"/>
      <x:c r="O15" s="301"/>
      <x:c r="P15" s="301"/>
      <x:c r="Q15" s="302"/>
      <x:c r="R15" s="302"/>
      <x:c r="S15" s="302"/>
      <x:c r="T15" s="302"/>
      <x:c r="U15" s="302"/>
      <x:c r="V15" s="302"/>
      <x:c r="W15" s="302"/>
      <x:c r="X15" s="302"/>
      <x:c r="Y15" s="302"/>
      <x:c r="Z15" s="302"/>
    </x:row>
    <x:row r="16">
      <x:c r="A16" s="268" t="s">
        <x:v>184</x:v>
      </x:c>
      <x:c r="B16" s="324" t="n">
        <x:f>SUMPRODUCT(B5:D5,B10:D10)</x:f>
        <x:v>7363359.158365222</x:v>
      </x:c>
      <x:c r="C16" s="301"/>
      <x:c r="D16" s="301"/>
      <x:c r="E16" s="301"/>
      <x:c r="F16" s="301"/>
      <x:c r="G16" s="301"/>
      <x:c r="H16" s="301"/>
      <x:c r="I16" s="301"/>
      <x:c r="J16" s="301"/>
      <x:c r="K16" s="301"/>
      <x:c r="L16" s="301"/>
      <x:c r="M16" s="301"/>
      <x:c r="N16" s="301"/>
      <x:c r="O16" s="301"/>
      <x:c r="P16" s="301"/>
      <x:c r="Q16" s="302"/>
      <x:c r="R16" s="302"/>
      <x:c r="S16" s="302"/>
      <x:c r="T16" s="302"/>
      <x:c r="U16" s="302"/>
      <x:c r="V16" s="302"/>
      <x:c r="W16" s="302"/>
      <x:c r="X16" s="302"/>
      <x:c r="Y16" s="302"/>
      <x:c r="Z16" s="302"/>
    </x:row>
    <x:row r="17">
      <x:c r="A17" s="268" t="s">
        <x:v>185</x:v>
      </x:c>
      <x:c r="B17" s="322" t="n" cm="1">
        <x:f t="array" ref="B17">SUMPRODUCT(B5:D5,--(B10:D10&lt;0))</x:f>
        <x:v>0.25</x:v>
      </x:c>
      <x:c r="C17" s="301"/>
      <x:c r="D17" s="301"/>
      <x:c r="E17" s="301"/>
      <x:c r="F17" s="301"/>
      <x:c r="G17" s="301"/>
      <x:c r="H17" s="301"/>
      <x:c r="I17" s="301"/>
      <x:c r="J17" s="301"/>
      <x:c r="K17" s="301"/>
      <x:c r="L17" s="301"/>
      <x:c r="M17" s="301"/>
      <x:c r="N17" s="301"/>
      <x:c r="O17" s="301"/>
      <x:c r="P17" s="301"/>
      <x:c r="Q17" s="302"/>
      <x:c r="R17" s="302"/>
      <x:c r="S17" s="302"/>
      <x:c r="T17" s="302"/>
      <x:c r="U17" s="302"/>
      <x:c r="V17" s="302"/>
      <x:c r="W17" s="302"/>
      <x:c r="X17" s="302"/>
      <x:c r="Y17" s="302"/>
      <x:c r="Z17" s="302"/>
    </x:row>
    <x:row r="18">
      <x:c r="A18" s="268" t="s">
        <x:v>186</x:v>
      </x:c>
      <x:c r="B18" s="339" t="n">
        <x:f>MAX(0,-MIN(B10:D10))</x:f>
        <x:v>3437356.3196675032</x:v>
      </x:c>
      <x:c r="C18" s="301"/>
      <x:c r="D18" s="301"/>
      <x:c r="E18" s="301"/>
      <x:c r="F18" s="301"/>
      <x:c r="G18" s="301"/>
      <x:c r="H18" s="301"/>
      <x:c r="I18" s="301"/>
      <x:c r="J18" s="301"/>
      <x:c r="K18" s="301"/>
      <x:c r="L18" s="301"/>
      <x:c r="M18" s="301"/>
      <x:c r="N18" s="301"/>
      <x:c r="O18" s="301"/>
      <x:c r="P18" s="301"/>
      <x:c r="Q18" s="302"/>
      <x:c r="R18" s="302"/>
      <x:c r="S18" s="302"/>
      <x:c r="T18" s="302"/>
      <x:c r="U18" s="302"/>
      <x:c r="V18" s="302"/>
      <x:c r="W18" s="302"/>
      <x:c r="X18" s="302"/>
      <x:c r="Y18" s="302"/>
      <x:c r="Z18" s="302"/>
    </x:row>
    <x:row r="19">
      <x:c r="A19" s="268" t="s">
        <x:v>187</x:v>
      </x:c>
      <x:c r="B19" s="341" t="n">
        <x:f>IFERROR((B14-Inputs!C49)/B15,0)</x:f>
        <x:v>3.4365603309557575</x:v>
      </x:c>
      <x:c r="C19" s="301"/>
      <x:c r="D19" s="301"/>
      <x:c r="E19" s="301"/>
      <x:c r="F19" s="301"/>
      <x:c r="G19" s="301"/>
      <x:c r="H19" s="301"/>
      <x:c r="I19" s="301"/>
      <x:c r="J19" s="301"/>
      <x:c r="K19" s="301"/>
      <x:c r="L19" s="301"/>
      <x:c r="M19" s="301"/>
      <x:c r="N19" s="301"/>
      <x:c r="O19" s="301"/>
      <x:c r="P19" s="301"/>
      <x:c r="Q19" s="302"/>
      <x:c r="R19" s="302"/>
      <x:c r="S19" s="302"/>
      <x:c r="T19" s="302"/>
      <x:c r="U19" s="302"/>
      <x:c r="V19" s="302"/>
      <x:c r="W19" s="302"/>
      <x:c r="X19" s="302"/>
      <x:c r="Y19" s="302"/>
      <x:c r="Z19" s="302"/>
    </x:row>
    <x:row r="20">
      <x:c r="A20" s="268" t="s">
        <x:v>188</x:v>
      </x:c>
      <x:c r="B20" s="341" t="n">
        <x:f>IFERROR((B14-Inputs!C50)/B15,0)</x:f>
        <x:v>0.9334673536957889</x:v>
      </x:c>
      <x:c r="C20" s="301"/>
      <x:c r="D20" s="301"/>
      <x:c r="E20" s="301"/>
      <x:c r="F20" s="301"/>
      <x:c r="G20" s="301"/>
      <x:c r="H20" s="301"/>
      <x:c r="I20" s="301"/>
      <x:c r="J20" s="301"/>
      <x:c r="K20" s="301"/>
      <x:c r="L20" s="301"/>
      <x:c r="M20" s="301"/>
      <x:c r="N20" s="301"/>
      <x:c r="O20" s="301"/>
      <x:c r="P20" s="301"/>
      <x:c r="Q20" s="302"/>
      <x:c r="R20" s="302"/>
      <x:c r="S20" s="302"/>
      <x:c r="T20" s="302"/>
      <x:c r="U20" s="302"/>
      <x:c r="V20" s="302"/>
      <x:c r="W20" s="302"/>
      <x:c r="X20" s="302"/>
      <x:c r="Y20" s="302"/>
      <x:c r="Z20" s="302"/>
    </x:row>
    <x:row r="21">
      <x:c r="A21" s="268" t="s">
        <x:v>189</x:v>
      </x:c>
      <x:c r="B21" s="342" t="n">
        <x:f>IF(Inputs!C10&lt;1,"",N(D9)-N(B9))</x:f>
        <x:v>0.07760654238197855</x:v>
      </x:c>
      <x:c r="C21" s="301"/>
      <x:c r="D21" s="301"/>
      <x:c r="E21" s="301"/>
      <x:c r="F21" s="301"/>
      <x:c r="G21" s="301"/>
      <x:c r="H21" s="301"/>
      <x:c r="I21" s="301"/>
      <x:c r="J21" s="301"/>
      <x:c r="K21" s="301"/>
      <x:c r="L21" s="301"/>
      <x:c r="M21" s="301"/>
      <x:c r="N21" s="301"/>
      <x:c r="O21" s="301"/>
      <x:c r="P21" s="301"/>
      <x:c r="Q21" s="302"/>
      <x:c r="R21" s="302"/>
      <x:c r="S21" s="302"/>
      <x:c r="T21" s="302"/>
      <x:c r="U21" s="302"/>
      <x:c r="V21" s="302"/>
      <x:c r="W21" s="302"/>
      <x:c r="X21" s="302"/>
      <x:c r="Y21" s="302"/>
      <x:c r="Z21" s="302"/>
    </x:row>
    <x:row r="22">
      <x:c r="A22" s="268"/>
      <x:c r="B22" s="268"/>
      <x:c r="C22" s="268"/>
      <x:c r="D22" s="268"/>
      <x:c r="E22" s="268"/>
      <x:c r="F22" s="268"/>
      <x:c r="G22" s="268"/>
      <x:c r="H22" s="268"/>
      <x:c r="I22" s="268"/>
      <x:c r="J22" s="268"/>
      <x:c r="K22" s="268"/>
      <x:c r="L22" s="268"/>
      <x:c r="M22" s="268"/>
      <x:c r="N22" s="268"/>
      <x:c r="O22" s="268"/>
      <x:c r="P22" s="268"/>
      <x:c r="Q22" s="269"/>
      <x:c r="R22" s="269"/>
      <x:c r="S22" s="269"/>
      <x:c r="T22" s="269"/>
      <x:c r="U22" s="269"/>
      <x:c r="V22" s="269"/>
      <x:c r="W22" s="269"/>
      <x:c r="X22" s="269"/>
      <x:c r="Y22" s="269"/>
      <x:c r="Z22" s="269"/>
    </x:row>
    <x:row r="23">
      <x:c r="A23" s="210" t="s">
        <x:v>190</x:v>
      </x:c>
      <x:c r="B23" s="210" t="s">
        <x:v>111</x:v>
      </x:c>
      <x:c r="C23" s="210"/>
      <x:c r="D23" s="210"/>
      <x:c r="E23" s="210"/>
      <x:c r="F23" s="210"/>
      <x:c r="G23" s="210"/>
      <x:c r="H23" s="210"/>
      <x:c r="I23" s="210"/>
      <x:c r="J23" s="210"/>
      <x:c r="K23" s="210"/>
      <x:c r="L23" s="210"/>
      <x:c r="M23" s="210"/>
      <x:c r="N23" s="210"/>
      <x:c r="O23" s="210"/>
      <x:c r="P23" s="210"/>
      <x:c r="Q23" s="201"/>
      <x:c r="R23" s="201"/>
      <x:c r="S23" s="201"/>
      <x:c r="T23" s="201"/>
      <x:c r="U23" s="201"/>
      <x:c r="V23" s="201"/>
      <x:c r="W23" s="201"/>
      <x:c r="X23" s="201"/>
      <x:c r="Y23" s="201"/>
      <x:c r="Z23" s="201"/>
    </x:row>
    <x:row r="24">
      <x:c r="A24" s="210" t="s">
        <x:v>191</x:v>
      </x:c>
      <x:c r="B24" s="210"/>
      <x:c r="C24" s="210"/>
      <x:c r="D24" s="210"/>
      <x:c r="E24" s="210"/>
      <x:c r="F24" s="210"/>
      <x:c r="G24" s="210"/>
      <x:c r="H24" s="210"/>
      <x:c r="I24" s="210"/>
      <x:c r="J24" s="210"/>
      <x:c r="K24" s="210"/>
      <x:c r="L24" s="210"/>
      <x:c r="M24" s="210"/>
      <x:c r="N24" s="210"/>
      <x:c r="O24" s="210"/>
      <x:c r="P24" s="210"/>
      <x:c r="Q24" s="201"/>
      <x:c r="R24" s="201"/>
      <x:c r="S24" s="201"/>
      <x:c r="T24" s="201"/>
      <x:c r="U24" s="201"/>
      <x:c r="V24" s="201"/>
      <x:c r="W24" s="201"/>
      <x:c r="X24" s="201"/>
      <x:c r="Y24" s="201"/>
      <x:c r="Z24" s="201"/>
    </x:row>
  </x:sheetData>
  <x:mergeCells>
    <x:mergeCell ref="A1:H1"/>
    <x:mergeCell ref="A2:H2"/>
    <x:mergeCell ref="A24:D24"/>
  </x:mergeCells>
  <x:pageMargins left="0.7" right="0.7" top="0.75" bottom="0.75" header="0.3" footer="0.3"/>
  <x:legacyDrawing xmlns:r="http://schemas.openxmlformats.org/officeDocument/2006/relationships" r:id="Rdfae346ca579485a"/>
</x:worksheet>
</file>

<file path=xl/worksheets/sheet6.xml><?xml version="1.0" encoding="utf-8"?>
<x:worksheet xmlns:x="http://schemas.openxmlformats.org/spreadsheetml/2006/main">
  <x:sheetViews>
    <x:sheetView showGridLines="0" workbookViewId="0"/>
  </x:sheetViews>
  <x:sheetFormatPr defaultRowHeight="14.25"/>
  <x:cols>
    <x:col min="1" max="1" width="54" hidden="0" customWidth="1"/>
    <x:col min="2" max="2" width="14" hidden="0" customWidth="1"/>
    <x:col min="3" max="3" width="20" hidden="0" customWidth="1"/>
    <x:col min="4" max="4" width="34" hidden="0" customWidth="1"/>
  </x:cols>
  <x:sheetData>
    <x:row r="1" ht="26" customHeight="1">
      <x:c r="A1" s="229" t="str">
        <x:v>Model Checks</x:v>
      </x:c>
      <x:c r="B1" s="229"/>
      <x:c r="C1" s="229"/>
      <x:c r="D1" s="229"/>
      <x:c r="E1"/>
      <x:c r="F1"/>
      <x:c r="G1"/>
      <x:c r="H1"/>
    </x:row>
    <x:row r="2" ht="20" customHeight="1">
      <x:c r="A2" s="114" t="str">
        <x:v>Control framework for assumptions, debt, valuation, scenario analysis, and core investment outputs</x:v>
      </x:c>
      <x:c r="B2" s="114"/>
      <x:c r="C2" s="114"/>
      <x:c r="D2" s="114"/>
      <x:c r="E2"/>
      <x:c r="F2"/>
      <x:c r="G2"/>
      <x:c r="H2"/>
    </x:row>
    <x:row r="3">
      <x:c r="A3" s="77"/>
      <x:c r="B3" s="77"/>
      <x:c r="C3" s="77"/>
      <x:c r="D3" s="77"/>
      <x:c r="E3"/>
      <x:c r="F3"/>
      <x:c r="G3"/>
      <x:c r="H3"/>
    </x:row>
    <x:row r="4" ht="14.25" hidden="0" customHeight="1">
      <x:c r="A4" s="343" t="str">
        <x:v>Check</x:v>
      </x:c>
      <x:c r="B4" s="343" t="str">
        <x:v>Status</x:v>
      </x:c>
      <x:c r="C4" s="343" t="str">
        <x:v>Measured Value</x:v>
      </x:c>
      <x:c r="D4" s="343" t="str">
        <x:v>Tolerance / Requirement</x:v>
      </x:c>
      <x:c r="E4"/>
      <x:c r="F4"/>
      <x:c r="G4"/>
      <x:c r="H4"/>
    </x:row>
    <x:row r="5" ht="14.25" hidden="0" customHeight="1">
      <x:c r="A5" s="347" t="str">
        <x:v>Scenario probabilities sum to 100%</x:v>
      </x:c>
      <x:c r="B5" s="353" t="str">
        <x:f>IF(ABS(C5-1)&lt;0.0001,"PASS","FAIL")</x:f>
        <x:v>PASS</x:v>
      </x:c>
      <x:c r="C5" s="362" t="n">
        <x:f>SUM('Inputs'!C40:C42)</x:f>
        <x:v>1</x:v>
      </x:c>
      <x:c r="D5" s="347" t="str">
        <x:v>100.0%</x:v>
      </x:c>
      <x:c r="E5"/>
      <x:c r="F5"/>
      <x:c r="G5"/>
      <x:c r="H5"/>
    </x:row>
    <x:row r="6" ht="14.25" hidden="0" customHeight="1">
      <x:c r="A6" s="348" t="str">
        <x:v>Valuation weights sum to 100%</x:v>
      </x:c>
      <x:c r="B6" s="354" t="str">
        <x:f>IF(ABS(C6-1)&lt;0.0001,"PASS","FAIL")</x:f>
        <x:v>PASS</x:v>
      </x:c>
      <x:c r="C6" s="363" t="n">
        <x:f>SUM('Inputs'!C36:C37)</x:f>
        <x:v>1</x:v>
      </x:c>
      <x:c r="D6" s="348" t="str">
        <x:v>100.0%</x:v>
      </x:c>
      <x:c r="E6"/>
      <x:c r="F6"/>
      <x:c r="G6"/>
      <x:c r="H6"/>
    </x:row>
    <x:row r="7" ht="14.25" hidden="0" customHeight="1">
      <x:c r="A7" s="348" t="str">
        <x:v>Hold period within modeled horizon</x:v>
      </x:c>
      <x:c r="B7" s="354" t="str">
        <x:f>IF(AND(C7&gt;=1,C7&lt;=20),"PASS","FAIL")</x:f>
        <x:v>PASS</x:v>
      </x:c>
      <x:c r="C7" s="360" t="n">
        <x:f>'Inputs'!C10</x:f>
        <x:v>20</x:v>
      </x:c>
      <x:c r="D7" s="348" t="str">
        <x:v>1 to 20 years</x:v>
      </x:c>
      <x:c r="E7"/>
      <x:c r="F7"/>
      <x:c r="G7"/>
      <x:c r="H7"/>
    </x:row>
    <x:row r="8" ht="14.25" hidden="0" customHeight="1">
      <x:c r="A8" s="348" t="str">
        <x:v>WACC exceeds terminal growth</x:v>
      </x:c>
      <x:c r="B8" s="354" t="str">
        <x:f>IF(C8&gt;0,"PASS","FAIL")</x:f>
        <x:v>PASS</x:v>
      </x:c>
      <x:c r="C8" s="363" t="n">
        <x:f>'Inputs'!C59-'Inputs'!C34</x:f>
        <x:v>0.053740597219056295</x:v>
      </x:c>
      <x:c r="D8" s="348" t="str">
        <x:v>&gt; 0.0%</x:v>
      </x:c>
      <x:c r="E8"/>
      <x:c r="F8"/>
      <x:c r="G8"/>
      <x:c r="H8"/>
    </x:row>
    <x:row r="9" ht="14.25" hidden="0" customHeight="1">
      <x:c r="A9" s="348" t="str">
        <x:v>Debt roll-forward balances</x:v>
      </x:c>
      <x:c r="B9" s="354" t="str">
        <x:f>IF(ABS(C9)&lt;0.01,"PASS","FAIL")</x:f>
        <x:v>PASS</x:v>
      </x:c>
      <x:c r="C9" s="364" t="n">
        <x:f>MAX(MAX('Asset_Model'!B38:V38),-MIN('Asset_Model'!B38:V38))</x:f>
        <x:v>0</x:v>
      </x:c>
      <x:c r="D9" s="348" t="str">
        <x:v>A$0</x:v>
      </x:c>
      <x:c r="E9"/>
      <x:c r="F9"/>
      <x:c r="G9"/>
      <x:c r="H9"/>
    </x:row>
    <x:row r="10" ht="14.25" hidden="0" customHeight="1">
      <x:c r="A10" s="348" t="str">
        <x:v>Core outputs populated</x:v>
      </x:c>
      <x:c r="B10" s="354" t="str">
        <x:f>IF(C10=14,"PASS","FAIL")</x:f>
        <x:v>PASS</x:v>
      </x:c>
      <x:c r="C10" s="360" t="n">
        <x:f>COUNT('Valuation'!C6:C19)</x:f>
        <x:v>14</x:v>
      </x:c>
      <x:c r="D10" s="348" t="str">
        <x:v>14 numeric outputs</x:v>
      </x:c>
      <x:c r="E10"/>
      <x:c r="F10"/>
      <x:c r="G10"/>
      <x:c r="H10"/>
    </x:row>
    <x:row r="11" ht="14.25" hidden="0" customHeight="1">
      <x:c r="A11" s="348" t="str">
        <x:v>No negative exit multiple</x:v>
      </x:c>
      <x:c r="B11" s="354" t="str">
        <x:f>IF(C11&gt;=0,"PASS","FAIL")</x:f>
        <x:v>PASS</x:v>
      </x:c>
      <x:c r="C11" s="365" t="n">
        <x:f>MIN('Scenarios_Risk'!B8:D8)</x:f>
        <x:v>5</x:v>
      </x:c>
      <x:c r="D11" s="348" t="str">
        <x:v>&gt;= 0.0x</x:v>
      </x:c>
      <x:c r="E11"/>
      <x:c r="F11"/>
      <x:c r="G11"/>
      <x:c r="H11"/>
    </x:row>
    <x:row r="12" ht="14.25" hidden="0" customHeight="1">
      <x:c r="A12" s="348" t="str">
        <x:v>Revenue commencement year valid</x:v>
      </x:c>
      <x:c r="B12" s="354" t="str">
        <x:f>IF(AND(C12&gt;=1,C12&lt;='Inputs'!C10,C12&lt;=20),"PASS","FAIL")</x:f>
        <x:v>PASS</x:v>
      </x:c>
      <x:c r="C12" s="360" t="n">
        <x:f>'Inputs'!C23</x:f>
        <x:v>1</x:v>
      </x:c>
      <x:c r="D12" s="348" t="str">
        <x:v>Year 1 to hold period</x:v>
      </x:c>
      <x:c r="E12"/>
      <x:c r="F12"/>
      <x:c r="G12"/>
      <x:c r="H12"/>
    </x:row>
    <x:row r="13" ht="14.25" hidden="0" customHeight="1">
      <x:c r="A13" s="348" t="str">
        <x:v>Performance fee hurdle valid</x:v>
      </x:c>
      <x:c r="B13" s="354" t="str">
        <x:f>IF(AND(C13&gt;=0,C13&lt;1),"PASS","FAIL")</x:f>
        <x:v>PASS</x:v>
      </x:c>
      <x:c r="C13" s="363" t="n">
        <x:f>'Inputs'!C13</x:f>
        <x:v>0.07</x:v>
      </x:c>
      <x:c r="D13" s="348" t="str">
        <x:v>0.0% to 100.0%</x:v>
      </x:c>
    </x:row>
    <x:row r="14" ht="14.25" hidden="0" customHeight="1">
      <x:c r="A14" s="348" t="str">
        <x:v>Opening equity matches disclosed 10% acquisition equity</x:v>
      </x:c>
      <x:c r="B14" s="354" t="str">
        <x:f>IF(ABS(C14)&lt;=100000,"PASS","FAIL")</x:f>
        <x:v>PASS</x:v>
      </x:c>
      <x:c r="C14" s="364" t="n">
        <x:f>'Valuation'!C19-('Inputs'!C8-'Asset_Model'!B20)</x:f>
        <x:v>0</x:v>
      </x:c>
      <x:c r="D14" s="348" t="str">
        <x:v>Within A$100,000</x:v>
      </x:c>
    </x:row>
    <x:row r="15" ht="14.25" hidden="0" customHeight="1">
      <x:c r="A15" s="348" t="str">
        <x:v>DCF value is non-negative</x:v>
      </x:c>
      <x:c r="B15" s="354" t="str">
        <x:f>IF(C15&gt;=0,"PASS","FAIL")</x:f>
        <x:v>PASS</x:v>
      </x:c>
      <x:c r="C15" s="364" t="n">
        <x:f>'Valuation'!C12</x:f>
        <x:v>71152101.83795656</x:v>
      </x:c>
      <x:c r="D15" s="348" t="str">
        <x:v>&gt;= A$0</x:v>
      </x:c>
    </x:row>
    <x:row r="16" ht="14.25" hidden="0" customHeight="1">
      <x:c r="A16" s="348" t="str">
        <x:v>Core and base Gross IRR align</x:v>
      </x:c>
      <x:c r="B16" s="354" t="str">
        <x:f>IF(ABS(C16)&lt;=D16,"PASS","FAIL")</x:f>
        <x:v>PASS</x:v>
      </x:c>
      <x:c r="C16" s="366" t="n">
        <x:f>'Valuation'!C9-'Scenarios_Risk'!C9</x:f>
        <x:v>0</x:v>
      </x:c>
      <x:c r="D16" s="367" t="n">
        <x:v>0.000001</x:v>
      </x:c>
    </x:row>
    <x:row r="17" ht="14.25" hidden="0" customHeight="1">
      <x:c r="A17" s="348" t="str">
        <x:v>Gross investment gain aligns to final cumulative cash flow</x:v>
      </x:c>
      <x:c r="B17" s="354" t="str">
        <x:f>IF(ABS(C17)&lt;=D17,"PASS","FAIL")</x:f>
        <x:v>PASS</x:v>
      </x:c>
      <x:c r="C17" s="364" t="n">
        <x:f>'Valuation'!C6-'Asset_Model'!V34</x:f>
        <x:v>0</x:v>
      </x:c>
      <x:c r="D17" s="368" t="n">
        <x:v>1</x:v>
      </x:c>
    </x:row>
    <x:row r="18" ht="14.25" hidden="0" customHeight="1">
      <x:c r="A18" s="349" t="str">
        <x:v>Capital structure weights sum to 100%</x:v>
      </x:c>
      <x:c r="B18" s="355" t="str">
        <x:f>IF(ABS(C18-D18)&lt;0.0001,"PASS","FAIL")</x:f>
        <x:v>PASS</x:v>
      </x:c>
      <x:c r="C18" s="369" t="n">
        <x:f>'Inputs'!C54+'Inputs'!C55</x:f>
        <x:v>1</x:v>
      </x:c>
      <x:c r="D18" s="370" t="n">
        <x:v>1</x:v>
      </x:c>
    </x:row>
    <x:row r="19">
      <x:c r="A19"/>
      <x:c r="B19"/>
      <x:c r="C19"/>
      <x:c r="D19"/>
    </x:row>
    <x:row r="20">
      <x:c r="A20"/>
      <x:c r="B20"/>
      <x:c r="C20"/>
      <x:c r="D20"/>
    </x:row>
  </x:sheetData>
  <x:mergeCells>
    <x:mergeCell ref="A1:D1"/>
    <x:mergeCell ref="A2:D2"/>
  </x:mergeCells>
  <x:conditionalFormatting sqref="B5:B18">
    <x:cfRule type="containsText" dxfId="2" priority="1" operator="containsText" text="PASS"/>
    <x:cfRule type="containsText" dxfId="3" priority="2" operator="containsText" text="FAIL"/>
    <x:cfRule type="containsText" dxfId="4" priority="3" operator="containsText" text="WARN"/>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4.25"/>
  <x:cols>
    <x:col min="1" max="1" width="24" hidden="0" customWidth="1"/>
    <x:col min="2" max="2" width="34" hidden="0" customWidth="1"/>
    <x:col min="3" max="4" width="14" customWidth="1"/>
    <x:col min="5" max="5" width="58" hidden="0" customWidth="1"/>
    <x:col min="6" max="6" width="28" hidden="0" customWidth="1"/>
    <x:col min="7" max="7" width="24" hidden="0" customWidth="1"/>
    <x:col min="8" max="8" width="70" hidden="0" customWidth="1"/>
    <x:col min="9" max="9" width="14" hidden="0" customWidth="1"/>
    <x:col min="3" max="3" width="16" hidden="0" customWidth="1"/>
    <x:col min="4" max="4" width="15" hidden="0" customWidth="1"/>
  </x:cols>
  <x:sheetData>
    <x:row r="1" ht="26" customHeight="1">
      <x:c r="A1" s="229" t="s">
        <x:v>192</x:v>
      </x:c>
      <x:c r="B1" s="229"/>
      <x:c r="C1" s="229"/>
      <x:c r="D1" s="229"/>
      <x:c r="E1" s="229"/>
      <x:c r="F1" s="229"/>
      <x:c r="G1" s="229"/>
      <x:c r="H1" s="229"/>
      <x:c r="I1" s="229"/>
    </x:row>
    <x:row r="2" ht="20" customHeight="1">
      <x:c r="A2" s="114" t="s">
        <x:v>193</x:v>
      </x:c>
      <x:c r="B2" s="114"/>
      <x:c r="C2" s="114"/>
      <x:c r="D2" s="114"/>
      <x:c r="E2" s="114"/>
      <x:c r="F2" s="114"/>
      <x:c r="G2" s="114"/>
      <x:c r="H2" s="114"/>
      <x:c r="I2" s="114"/>
    </x:row>
    <x:row r="3">
      <x:c r="A3" s="268"/>
      <x:c r="B3" s="268"/>
      <x:c r="C3" s="268"/>
      <x:c r="D3" s="268"/>
      <x:c r="E3" s="268"/>
      <x:c r="F3" s="268"/>
      <x:c r="G3" s="268"/>
      <x:c r="H3" s="268"/>
      <x:c r="I3" s="268"/>
    </x:row>
    <x:row r="4" ht="14.25" hidden="0" customHeight="1">
      <x:c r="A4" s="385" t="s">
        <x:v>194</x:v>
      </x:c>
      <x:c r="B4" s="385" t="s">
        <x:v>195</x:v>
      </x:c>
      <x:c r="C4" s="385" t="s">
        <x:v>196</x:v>
      </x:c>
      <x:c r="D4" s="385" t="s">
        <x:v>197</x:v>
      </x:c>
      <x:c r="E4" s="385" t="s">
        <x:v>198</x:v>
      </x:c>
      <x:c r="F4" s="385" t="s">
        <x:v>199</x:v>
      </x:c>
      <x:c r="G4" s="385" t="s">
        <x:v>200</x:v>
      </x:c>
      <x:c r="H4" s="385" t="s">
        <x:v>201</x:v>
      </x:c>
      <x:c r="I4" s="386" t="s">
        <x:v>202</x:v>
      </x:c>
    </x:row>
    <x:row r="5" ht="21.600000381469727" hidden="0" customHeight="1">
      <x:c r="A5" s="387" t="s">
        <x:v>203</x:v>
      </x:c>
      <x:c r="B5" s="387" t="s">
        <x:v>204</x:v>
      </x:c>
      <x:c r="C5" s="387" t="s">
        <x:v>205</x:v>
      </x:c>
      <x:c r="D5" s="388" t="s">
        <x:v>206</x:v>
      </x:c>
      <x:c r="E5" s="387" t="s">
        <x:v>207</x:v>
      </x:c>
      <x:c r="F5" s="387" t="s">
        <x:v>208</x:v>
      </x:c>
      <x:c r="G5" s="387" t="s">
        <x:v>209</x:v>
      </x:c>
      <x:c r="H5" s="387" t="s">
        <x:v>210</x:v>
      </x:c>
      <x:c r="I5" s="389">
        <x:v>46237</x:v>
      </x:c>
    </x:row>
    <x:row r="6" ht="21.600000381469727" hidden="0" customHeight="1">
      <x:c r="A6" s="390" t="s">
        <x:v>211</x:v>
      </x:c>
      <x:c r="B6" s="390" t="s">
        <x:v>212</x:v>
      </x:c>
      <x:c r="C6" s="390" t="s">
        <x:v>10</x:v>
      </x:c>
      <x:c r="D6" s="391" t="s">
        <x:v>206</x:v>
      </x:c>
      <x:c r="E6" s="390" t="s">
        <x:v>213</x:v>
      </x:c>
      <x:c r="F6" s="390" t="s">
        <x:v>214</x:v>
      </x:c>
      <x:c r="G6" s="390" t="s">
        <x:v>215</x:v>
      </x:c>
      <x:c r="H6" s="390" t="s">
        <x:v>216</x:v>
      </x:c>
      <x:c r="I6" s="392">
        <x:v>46237</x:v>
      </x:c>
    </x:row>
    <x:row r="7" ht="21.600000381469727" hidden="0" customHeight="1">
      <x:c r="A7" s="390" t="s">
        <x:v>217</x:v>
      </x:c>
      <x:c r="B7" s="390" t="s">
        <x:v>218</x:v>
      </x:c>
      <x:c r="C7" s="390" t="s">
        <x:v>219</x:v>
      </x:c>
      <x:c r="D7" s="391" t="s">
        <x:v>206</x:v>
      </x:c>
      <x:c r="E7" s="390" t="s">
        <x:v>213</x:v>
      </x:c>
      <x:c r="F7" s="390" t="s">
        <x:v>214</x:v>
      </x:c>
      <x:c r="G7" s="390" t="s">
        <x:v>220</x:v>
      </x:c>
      <x:c r="H7" s="390" t="s">
        <x:v>221</x:v>
      </x:c>
      <x:c r="I7" s="392">
        <x:v>46237</x:v>
      </x:c>
    </x:row>
    <x:row r="8" ht="21.600000381469727" hidden="0" customHeight="1">
      <x:c r="A8" s="390" t="s">
        <x:v>222</x:v>
      </x:c>
      <x:c r="B8" s="390" t="s">
        <x:v>223</x:v>
      </x:c>
      <x:c r="C8" s="390" t="s">
        <x:v>224</x:v>
      </x:c>
      <x:c r="D8" s="391" t="s">
        <x:v>225</x:v>
      </x:c>
      <x:c r="E8" s="390" t="s">
        <x:v>226</x:v>
      </x:c>
      <x:c r="F8" s="390" t="s">
        <x:v>227</x:v>
      </x:c>
      <x:c r="G8" s="390" t="s">
        <x:v>228</x:v>
      </x:c>
      <x:c r="H8" s="390" t="s">
        <x:v>229</x:v>
      </x:c>
      <x:c r="I8" s="392">
        <x:v>46237</x:v>
      </x:c>
    </x:row>
    <x:row r="9" ht="21.600000381469727" hidden="0" customHeight="1">
      <x:c r="A9" s="390" t="s">
        <x:v>230</x:v>
      </x:c>
      <x:c r="B9" s="390" t="s">
        <x:v>231</x:v>
      </x:c>
      <x:c r="C9" s="390" t="s">
        <x:v>232</x:v>
      </x:c>
      <x:c r="D9" s="391" t="s">
        <x:v>233</x:v>
      </x:c>
      <x:c r="E9" s="390" t="s">
        <x:v>234</x:v>
      </x:c>
      <x:c r="F9" s="390" t="s">
        <x:v>235</x:v>
      </x:c>
      <x:c r="G9" s="390" t="s">
        <x:v>236</x:v>
      </x:c>
      <x:c r="H9" s="390" t="s">
        <x:v>237</x:v>
      </x:c>
      <x:c r="I9" s="392">
        <x:v>46237</x:v>
      </x:c>
    </x:row>
    <x:row r="10" ht="21.600000381469727" hidden="0" customHeight="1">
      <x:c r="A10" s="390" t="s">
        <x:v>238</x:v>
      </x:c>
      <x:c r="B10" s="390" t="s">
        <x:v>239</x:v>
      </x:c>
      <x:c r="C10" s="390" t="s">
        <x:v>240</x:v>
      </x:c>
      <x:c r="D10" s="391" t="s">
        <x:v>241</x:v>
      </x:c>
      <x:c r="E10" s="390" t="s">
        <x:v>242</x:v>
      </x:c>
      <x:c r="F10" s="390" t="s">
        <x:v>243</x:v>
      </x:c>
      <x:c r="G10" s="390" t="s">
        <x:v>244</x:v>
      </x:c>
      <x:c r="H10" s="390" t="s">
        <x:v>245</x:v>
      </x:c>
      <x:c r="I10" s="392">
        <x:v>46237</x:v>
      </x:c>
    </x:row>
    <x:row r="11" ht="21.600000381469727" hidden="0" customHeight="1">
      <x:c r="A11" s="390" t="s">
        <x:v>246</x:v>
      </x:c>
      <x:c r="B11" s="390" t="str">
        <x:v>8.0% cost of equity; 1.0% terminal growth; 7.0x exit</x:v>
      </x:c>
      <x:c r="C11" s="390" t="s">
        <x:v>247</x:v>
      </x:c>
      <x:c r="D11" s="391" t="s">
        <x:v>248</x:v>
      </x:c>
      <x:c r="E11" s="390" t="s">
        <x:v>242</x:v>
      </x:c>
      <x:c r="F11" s="390" t="s">
        <x:v>243</x:v>
      </x:c>
      <x:c r="G11" s="390" t="s">
        <x:v>249</x:v>
      </x:c>
      <x:c r="H11" s="390" t="str">
        <x:v>The 8.0% assumption is the equity required return. Enterprise DCF and exit-value discounting use the model-derived WACC below.</x:v>
      </x:c>
      <x:c r="I11" s="392">
        <x:v>46237</x:v>
      </x:c>
    </x:row>
    <x:row r="12" ht="14.25" hidden="0" customHeight="1">
      <x:c r="A12" s="390" t="s">
        <x:v>250</x:v>
      </x:c>
      <x:c r="B12" s="390" t="s">
        <x:v>251</x:v>
      </x:c>
      <x:c r="C12" s="390" t="s">
        <x:v>240</x:v>
      </x:c>
      <x:c r="D12" s="391" t="s">
        <x:v>252</x:v>
      </x:c>
      <x:c r="E12" s="390" t="s">
        <x:v>253</x:v>
      </x:c>
      <x:c r="F12" s="390" t="s">
        <x:v>254</x:v>
      </x:c>
      <x:c r="G12" s="390" t="s">
        <x:v>255</x:v>
      </x:c>
      <x:c r="H12" s="390" t="s">
        <x:v>256</x:v>
      </x:c>
      <x:c r="I12" s="392">
        <x:v>46237</x:v>
      </x:c>
    </x:row>
    <x:row r="13" ht="21.600000381469727" hidden="0" customHeight="1">
      <x:c r="A13" s="390" t="s">
        <x:v>257</x:v>
      </x:c>
      <x:c r="B13" s="390" t="s">
        <x:v>258</x:v>
      </x:c>
      <x:c r="C13" s="390" t="s">
        <x:v>259</x:v>
      </x:c>
      <x:c r="D13" s="390" t="s">
        <x:v>260</x:v>
      </x:c>
      <x:c r="E13" s="390"/>
      <x:c r="F13" s="390" t="s">
        <x:v>261</x:v>
      </x:c>
      <x:c r="G13" s="390" t="s">
        <x:v>262</x:v>
      </x:c>
      <x:c r="H13" s="390" t="s">
        <x:v>263</x:v>
      </x:c>
      <x:c r="I13" s="392">
        <x:v>46237</x:v>
      </x:c>
    </x:row>
    <x:row r="14" ht="21.600000381469727" hidden="0" customHeight="1">
      <x:c r="A14" s="402" t="str">
        <x:v>Weighted average cost of capital</x:v>
      </x:c>
      <x:c r="B14" s="403" t="n">
        <x:f>'Inputs'!C59</x:f>
        <x:v>0.0637405972190563</x:v>
      </x:c>
      <x:c r="C14" s="402" t="str">
        <x:v>% p.a.</x:v>
      </x:c>
      <x:c r="D14" s="402" t="str">
        <x:v>Model v1.5</x:v>
      </x:c>
      <x:c r="E14" s="402"/>
      <x:c r="F14" s="402" t="str">
        <x:v>Model-derived</x:v>
      </x:c>
      <x:c r="G14" s="402" t="str">
        <x:v>Inputs!C54:C60; Valuation!C12:C16</x:v>
      </x:c>
      <x:c r="H14" s="402" t="str">
        <x:v>WACC = E/V × Cost of Equity + D/V × Cost of Debt × (1 − tax rate). Capital weights use the disclosed proportional acquisition EV bridge; replace with target capital structure if updated data becomes available.</x:v>
      </x:c>
      <x:c r="I14" s="404" t="n">
        <x:v>46258</x:v>
      </x:c>
    </x:row>
  </x:sheetData>
  <x:mergeCells>
    <x:mergeCell ref="A1:H1"/>
    <x:mergeCell ref="A2:H2"/>
  </x:mergeCells>
  <x:pageMargins left="0.7" right="0.7" top="0.75" bottom="0.75" header="0.3" footer="0.3"/>
</x:worksheet>
</file>